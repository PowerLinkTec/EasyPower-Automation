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3" autoFilterDateGrouping="1"/>
  </bookViews>
  <sheets>
    <sheet xmlns:r="http://schemas.openxmlformats.org/officeDocument/2006/relationships" name="Scenario summary" sheetId="1" state="visible" r:id="rId1"/>
    <sheet xmlns:r="http://schemas.openxmlformats.org/officeDocument/2006/relationships" name="Scenario 100%_Power" sheetId="2" state="visible" r:id="rId2"/>
    <sheet xmlns:r="http://schemas.openxmlformats.org/officeDocument/2006/relationships" name="Scenario_100_inv_voltages" sheetId="3" state="visible" r:id="rId3"/>
    <sheet xmlns:r="http://schemas.openxmlformats.org/officeDocument/2006/relationships" name="Scenario_100_Branch_loadin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48"/>
      <scheme val="minor"/>
    </font>
    <font>
      <name val="Calibri"/>
      <family val="2"/>
      <b val="1"/>
      <color theme="1"/>
      <sz val="4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topLeftCell="A56" workbookViewId="0">
      <selection activeCell="G53" sqref="G53"/>
    </sheetView>
  </sheetViews>
  <sheetFormatPr baseColWidth="8" defaultRowHeight="14.5"/>
  <sheetData>
    <row r="1">
      <c r="A1" t="inlineStr">
        <is>
          <t>Scenarios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Voltage</t>
        </is>
      </c>
      <c r="B2" t="inlineStr">
        <is>
          <t>Generation level</t>
        </is>
      </c>
      <c r="C2" t="inlineStr">
        <is>
          <t>Scenario</t>
        </is>
      </c>
      <c r="D2" t="inlineStr">
        <is>
          <t>Reactive Test</t>
        </is>
      </c>
    </row>
    <row r="3">
      <c r="A3" t="inlineStr">
        <is>
          <t>0.95 PU</t>
        </is>
      </c>
      <c r="B3" t="n">
        <v>0</v>
      </c>
      <c r="C3" t="inlineStr">
        <is>
          <t>PV generation (With BESS Q support)</t>
        </is>
      </c>
      <c r="D3" t="inlineStr">
        <is>
          <t>Leading</t>
        </is>
      </c>
    </row>
    <row r="4">
      <c r="B4" t="n">
        <v>0.25</v>
      </c>
    </row>
    <row r="5">
      <c r="B5" t="n">
        <v>0.5</v>
      </c>
    </row>
    <row r="6">
      <c r="B6" t="n">
        <v>0.75</v>
      </c>
      <c r="D6" t="inlineStr">
        <is>
          <t>Lagging</t>
        </is>
      </c>
    </row>
    <row r="7">
      <c r="B7" t="n">
        <v>1</v>
      </c>
    </row>
    <row r="8">
      <c r="A8" t="inlineStr">
        <is>
          <t>1.00 PU</t>
        </is>
      </c>
      <c r="B8" t="n">
        <v>0</v>
      </c>
      <c r="C8" t="inlineStr">
        <is>
          <t>PV only  (With BESS Q support)</t>
        </is>
      </c>
      <c r="D8" t="inlineStr">
        <is>
          <t>Leading</t>
        </is>
      </c>
    </row>
    <row r="9">
      <c r="B9" t="n">
        <v>0.25</v>
      </c>
    </row>
    <row r="10">
      <c r="B10" t="n">
        <v>0.5</v>
      </c>
    </row>
    <row r="11">
      <c r="B11" t="n">
        <v>0.75</v>
      </c>
      <c r="D11" t="inlineStr">
        <is>
          <t>Lagging</t>
        </is>
      </c>
    </row>
    <row r="12">
      <c r="B12" t="n">
        <v>1</v>
      </c>
    </row>
    <row r="13">
      <c r="A13" t="inlineStr">
        <is>
          <t>1.05 PU</t>
        </is>
      </c>
      <c r="B13" t="n">
        <v>0</v>
      </c>
      <c r="C13" t="inlineStr">
        <is>
          <t>PV only  (With BESS Q support)</t>
        </is>
      </c>
      <c r="D13" t="inlineStr">
        <is>
          <t>Leading</t>
        </is>
      </c>
    </row>
    <row r="14">
      <c r="B14" t="n">
        <v>0.25</v>
      </c>
    </row>
    <row r="15">
      <c r="B15" t="n">
        <v>0.5</v>
      </c>
    </row>
    <row r="16">
      <c r="B16" t="n">
        <v>0.75</v>
      </c>
      <c r="D16" t="inlineStr">
        <is>
          <t>Lagging</t>
        </is>
      </c>
    </row>
    <row r="17">
      <c r="B17" t="n">
        <v>1</v>
      </c>
    </row>
    <row r="19">
      <c r="A19" t="inlineStr">
        <is>
          <t>0.95 PU</t>
        </is>
      </c>
      <c r="B19" t="n">
        <v>0</v>
      </c>
      <c r="C19" t="inlineStr">
        <is>
          <t>BESS Discharging  (With PV Q support)</t>
        </is>
      </c>
      <c r="D19" t="inlineStr">
        <is>
          <t>Leading</t>
        </is>
      </c>
    </row>
    <row r="20">
      <c r="B20" t="n">
        <v>0.25</v>
      </c>
    </row>
    <row r="21">
      <c r="B21" t="n">
        <v>0.5</v>
      </c>
    </row>
    <row r="22">
      <c r="B22" t="n">
        <v>0.75</v>
      </c>
      <c r="D22" t="inlineStr">
        <is>
          <t>Lagging</t>
        </is>
      </c>
    </row>
    <row r="23">
      <c r="B23" t="n">
        <v>1</v>
      </c>
    </row>
    <row r="24">
      <c r="A24" t="inlineStr">
        <is>
          <t>1.00 PU</t>
        </is>
      </c>
      <c r="B24" t="n">
        <v>0</v>
      </c>
      <c r="C24" t="inlineStr">
        <is>
          <t>BESS Discharging (With PV Q support)</t>
        </is>
      </c>
      <c r="D24" t="inlineStr">
        <is>
          <t>Leading</t>
        </is>
      </c>
    </row>
    <row r="25">
      <c r="B25" t="n">
        <v>0.25</v>
      </c>
    </row>
    <row r="26">
      <c r="B26" t="n">
        <v>0.5</v>
      </c>
    </row>
    <row r="27">
      <c r="B27" t="n">
        <v>0.75</v>
      </c>
      <c r="D27" t="inlineStr">
        <is>
          <t>Lagging</t>
        </is>
      </c>
    </row>
    <row r="28">
      <c r="B28" t="n">
        <v>1</v>
      </c>
    </row>
    <row r="29">
      <c r="A29" t="inlineStr">
        <is>
          <t>1.05 PU</t>
        </is>
      </c>
      <c r="B29" t="n">
        <v>0</v>
      </c>
      <c r="C29" t="inlineStr">
        <is>
          <t>BESS Discharging (With PV Q support)</t>
        </is>
      </c>
      <c r="D29" t="inlineStr">
        <is>
          <t>Leading</t>
        </is>
      </c>
    </row>
    <row r="30">
      <c r="B30" t="n">
        <v>0.25</v>
      </c>
    </row>
    <row r="31">
      <c r="B31" t="n">
        <v>0.5</v>
      </c>
    </row>
    <row r="32">
      <c r="B32" t="n">
        <v>0.75</v>
      </c>
      <c r="D32" t="inlineStr">
        <is>
          <t>Lagging</t>
        </is>
      </c>
    </row>
    <row r="33">
      <c r="B33" t="n">
        <v>1</v>
      </c>
    </row>
    <row r="35">
      <c r="A35" t="inlineStr">
        <is>
          <t>0.95 PU</t>
        </is>
      </c>
      <c r="B35" t="n">
        <v>0</v>
      </c>
      <c r="C35" t="inlineStr">
        <is>
          <t>BESS Charging (With PV Q support)</t>
        </is>
      </c>
      <c r="D35" t="inlineStr">
        <is>
          <t>Leading</t>
        </is>
      </c>
    </row>
    <row r="36">
      <c r="B36" t="n">
        <v>0.25</v>
      </c>
    </row>
    <row r="37">
      <c r="B37" t="n">
        <v>0.5</v>
      </c>
    </row>
    <row r="38">
      <c r="B38" t="n">
        <v>0.75</v>
      </c>
      <c r="D38" t="inlineStr">
        <is>
          <t>Lagging</t>
        </is>
      </c>
    </row>
    <row r="39">
      <c r="B39" t="n">
        <v>1</v>
      </c>
    </row>
    <row r="40">
      <c r="A40" t="inlineStr">
        <is>
          <t>1.00 PU</t>
        </is>
      </c>
      <c r="B40" t="n">
        <v>0</v>
      </c>
      <c r="C40" t="inlineStr">
        <is>
          <t>BESS Charging (With PV Q support)</t>
        </is>
      </c>
      <c r="D40" t="inlineStr">
        <is>
          <t>Leading</t>
        </is>
      </c>
    </row>
    <row r="41">
      <c r="B41" t="n">
        <v>0.25</v>
      </c>
    </row>
    <row r="42">
      <c r="B42" t="n">
        <v>0.5</v>
      </c>
    </row>
    <row r="43">
      <c r="B43" t="n">
        <v>0.75</v>
      </c>
      <c r="D43" t="inlineStr">
        <is>
          <t>Lagging</t>
        </is>
      </c>
    </row>
    <row r="44">
      <c r="B44" t="n">
        <v>1</v>
      </c>
    </row>
    <row r="45">
      <c r="A45" t="inlineStr">
        <is>
          <t>1.05 PU</t>
        </is>
      </c>
      <c r="B45" t="n">
        <v>0</v>
      </c>
      <c r="C45" t="inlineStr">
        <is>
          <t>BESS Charging (With PV Q support)</t>
        </is>
      </c>
      <c r="D45" t="inlineStr">
        <is>
          <t>Leading</t>
        </is>
      </c>
    </row>
    <row r="46">
      <c r="B46" t="n">
        <v>0.25</v>
      </c>
    </row>
    <row r="47">
      <c r="B47" t="n">
        <v>0.5</v>
      </c>
    </row>
    <row r="48">
      <c r="B48" t="n">
        <v>0.75</v>
      </c>
      <c r="D48" t="inlineStr">
        <is>
          <t>Lagging</t>
        </is>
      </c>
    </row>
    <row r="49">
      <c r="B49" t="n">
        <v>1</v>
      </c>
    </row>
    <row r="51">
      <c r="A51" t="inlineStr">
        <is>
          <t>0.95 PU</t>
        </is>
      </c>
      <c r="B51" t="n">
        <v>0</v>
      </c>
      <c r="C51" t="inlineStr">
        <is>
          <t>Nighttime</t>
        </is>
      </c>
      <c r="D51" t="inlineStr">
        <is>
          <t>Leading</t>
        </is>
      </c>
    </row>
    <row r="52">
      <c r="B52" t="n">
        <v>0.25</v>
      </c>
    </row>
    <row r="53">
      <c r="B53" t="n">
        <v>0.5</v>
      </c>
    </row>
    <row r="54">
      <c r="B54" t="n">
        <v>0.75</v>
      </c>
      <c r="D54" t="inlineStr">
        <is>
          <t>Lagging</t>
        </is>
      </c>
    </row>
    <row r="55">
      <c r="B55" t="n">
        <v>1</v>
      </c>
    </row>
    <row r="56">
      <c r="A56" t="inlineStr">
        <is>
          <t>1.00 PU</t>
        </is>
      </c>
      <c r="B56" t="n">
        <v>0</v>
      </c>
      <c r="C56" t="inlineStr">
        <is>
          <t>Nighttime</t>
        </is>
      </c>
      <c r="D56" t="inlineStr">
        <is>
          <t>Leading</t>
        </is>
      </c>
    </row>
    <row r="57">
      <c r="B57" t="n">
        <v>0.25</v>
      </c>
    </row>
    <row r="58">
      <c r="B58" t="n">
        <v>0.5</v>
      </c>
    </row>
    <row r="59">
      <c r="B59" t="n">
        <v>0.75</v>
      </c>
      <c r="D59" t="inlineStr">
        <is>
          <t>Lagging</t>
        </is>
      </c>
    </row>
    <row r="60">
      <c r="B60" t="n">
        <v>1</v>
      </c>
    </row>
    <row r="61">
      <c r="A61" t="inlineStr">
        <is>
          <t>1.05 PU</t>
        </is>
      </c>
      <c r="B61" t="n">
        <v>0</v>
      </c>
      <c r="C61" t="inlineStr">
        <is>
          <t>Nighttime</t>
        </is>
      </c>
      <c r="D61" t="inlineStr">
        <is>
          <t>Leading</t>
        </is>
      </c>
    </row>
    <row r="62">
      <c r="B62" t="n">
        <v>0.25</v>
      </c>
    </row>
    <row r="63">
      <c r="B63" t="n">
        <v>0.5</v>
      </c>
    </row>
    <row r="64">
      <c r="B64" t="n">
        <v>0.75</v>
      </c>
      <c r="D64" t="inlineStr">
        <is>
          <t>Lagging</t>
        </is>
      </c>
    </row>
    <row r="65">
      <c r="B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topLeftCell="A13" zoomScale="25" zoomScaleNormal="25" workbookViewId="0">
      <selection activeCell="D38" sqref="D38:D41"/>
    </sheetView>
  </sheetViews>
  <sheetFormatPr baseColWidth="8" defaultColWidth="27.6328125" defaultRowHeight="14.5"/>
  <cols>
    <col width="43.81640625" customWidth="1" min="1" max="1"/>
    <col width="40" customWidth="1" min="2" max="2"/>
    <col width="52.90625" customWidth="1" min="3" max="3"/>
    <col width="116.08984375" customWidth="1" min="4" max="4"/>
    <col width="43.1796875" customWidth="1" min="5" max="5"/>
    <col width="32.453125" bestFit="1" customWidth="1" min="6" max="6"/>
    <col width="48.6328125" customWidth="1" min="7" max="7"/>
    <col width="38.54296875" customWidth="1" min="8" max="8"/>
    <col width="54.08984375" customWidth="1" min="9" max="9"/>
    <col width="47.81640625" customWidth="1" min="10" max="10"/>
    <col width="48.08984375" customWidth="1" min="11" max="11"/>
    <col width="54.08984375" customWidth="1" min="12" max="12"/>
    <col width="49.1796875" customWidth="1" min="13" max="15"/>
    <col width="50.1796875" customWidth="1" min="16" max="16"/>
    <col width="49.54296875" customWidth="1" min="17" max="17"/>
  </cols>
  <sheetData>
    <row r="1" ht="369" customHeight="1">
      <c r="A1" s="5" t="inlineStr">
        <is>
          <t>Scenario</t>
        </is>
      </c>
      <c r="B1" s="5" t="inlineStr">
        <is>
          <t>Voltage</t>
        </is>
      </c>
      <c r="C1" s="5" t="inlineStr">
        <is>
          <t>Generation level</t>
        </is>
      </c>
      <c r="D1" s="5" t="inlineStr">
        <is>
          <t>Configuration</t>
        </is>
      </c>
      <c r="E1" s="5" t="inlineStr">
        <is>
          <t>Reactive Test</t>
        </is>
      </c>
      <c r="F1" s="5" t="inlineStr">
        <is>
          <t>Target real power (kW)</t>
        </is>
      </c>
      <c r="G1" s="5" t="inlineStr">
        <is>
          <t>Simulation results - Real power at POI (kW)</t>
        </is>
      </c>
      <c r="H1" s="5" t="inlineStr">
        <is>
          <t>Target reactive power (kVAR)</t>
        </is>
      </c>
      <c r="I1" s="5" t="inlineStr">
        <is>
          <t>Simulation results - Reactive power at POI (kVAR)</t>
        </is>
      </c>
      <c r="J1" s="5" t="inlineStr">
        <is>
          <t>Gross Active Power Supplied Per PV Skid (kW)</t>
        </is>
      </c>
      <c r="K1" s="5" t="inlineStr">
        <is>
          <t>Gross Active Power Supplied Per BESS Skid (kW)</t>
        </is>
      </c>
      <c r="L1" s="5" t="inlineStr">
        <is>
          <t>Gross Reactive Power Supplied Per PV Skid (kVAR)</t>
        </is>
      </c>
      <c r="M1" s="5" t="inlineStr">
        <is>
          <t>Gross Reactive Power Supplied Per BESS Skid (kVAR)</t>
        </is>
      </c>
      <c r="N1" s="5" t="inlineStr">
        <is>
          <t>BESS INV PF</t>
        </is>
      </c>
      <c r="O1" s="5" t="inlineStr">
        <is>
          <t>PV INV PF</t>
        </is>
      </c>
      <c r="P1" s="5" t="inlineStr">
        <is>
          <t>Simulation results - Power Factor at POI</t>
        </is>
      </c>
      <c r="Q1" s="5" t="inlineStr">
        <is>
          <t>PASS/FAIL</t>
        </is>
      </c>
    </row>
    <row r="2" ht="61.5" customHeight="1">
      <c r="A2" s="1" t="n">
        <v>1</v>
      </c>
      <c r="B2" s="1" t="n">
        <v>0.975</v>
      </c>
      <c r="C2" s="1" t="n">
        <v>1</v>
      </c>
      <c r="D2" s="1" t="inlineStr">
        <is>
          <t>PV (with BESS IDLE)</t>
        </is>
      </c>
      <c r="E2" s="1" t="inlineStr">
        <is>
          <t>Lagging</t>
        </is>
      </c>
      <c r="F2" s="1" t="n">
        <v>125000</v>
      </c>
      <c r="G2" s="2" t="n">
        <v>125340.384</v>
      </c>
      <c r="H2" s="1" t="n">
        <v>41100</v>
      </c>
      <c r="I2" s="2" t="n">
        <v>42831.274</v>
      </c>
      <c r="J2" s="2" t="n">
        <v>3780</v>
      </c>
      <c r="K2" s="1" t="n">
        <v>0</v>
      </c>
      <c r="L2" s="2" t="n">
        <v>1900</v>
      </c>
      <c r="M2" s="1" t="n">
        <v>0</v>
      </c>
      <c r="N2" s="1" t="inlineStr">
        <is>
          <t>-</t>
        </is>
      </c>
      <c r="O2" s="3">
        <f>COS(ATAN(L2/J2))</f>
        <v/>
      </c>
      <c r="P2" s="3" t="n">
        <v>0.9498481112798104</v>
      </c>
      <c r="Q2" s="4" t="inlineStr">
        <is>
          <t>PASS</t>
        </is>
      </c>
    </row>
    <row r="3" ht="61.5" customHeight="1">
      <c r="A3" s="1" t="n">
        <v>2</v>
      </c>
      <c r="B3" s="1" t="n">
        <v>0.975</v>
      </c>
      <c r="C3" s="1" t="n">
        <v>1</v>
      </c>
      <c r="D3" s="1" t="inlineStr">
        <is>
          <t>PV (with BESS IDLE)</t>
        </is>
      </c>
      <c r="E3" s="1" t="inlineStr">
        <is>
          <t>Leading</t>
        </is>
      </c>
      <c r="F3" s="1" t="n">
        <v>125000</v>
      </c>
      <c r="G3" s="2" t="n">
        <v>125459.985</v>
      </c>
      <c r="H3" s="1" t="n">
        <v>-41100</v>
      </c>
      <c r="I3" s="2" t="n">
        <v>-43007.245</v>
      </c>
      <c r="J3" s="2" t="n">
        <v>3779.983</v>
      </c>
      <c r="K3" s="1" t="n">
        <v>0</v>
      </c>
      <c r="L3" s="2" t="n">
        <v>-650.015</v>
      </c>
      <c r="M3" s="1" t="n">
        <v>0</v>
      </c>
      <c r="N3" s="1" t="inlineStr">
        <is>
          <t>-</t>
        </is>
      </c>
      <c r="O3" s="3">
        <f>COS(ATAN(L3/J3))</f>
        <v/>
      </c>
      <c r="P3" s="3" t="n">
        <v>0.9497773436420038</v>
      </c>
      <c r="Q3" s="4" t="inlineStr">
        <is>
          <t>PASS</t>
        </is>
      </c>
    </row>
    <row r="4" ht="61.5" customHeight="1">
      <c r="A4" s="1" t="n">
        <v>3</v>
      </c>
      <c r="B4" s="1" t="n">
        <v>1</v>
      </c>
      <c r="C4" s="1" t="n">
        <v>1</v>
      </c>
      <c r="D4" s="1" t="inlineStr">
        <is>
          <t>PV (with BESS IDLE)</t>
        </is>
      </c>
      <c r="E4" s="1" t="inlineStr">
        <is>
          <t>Lagging</t>
        </is>
      </c>
      <c r="F4" s="1" t="n">
        <v>125000</v>
      </c>
      <c r="G4" s="2" t="n">
        <v>125352.691</v>
      </c>
      <c r="H4" s="1" t="n">
        <v>41100</v>
      </c>
      <c r="I4" s="2" t="n">
        <v>42600.163</v>
      </c>
      <c r="J4" s="2" t="n">
        <v>3780.008</v>
      </c>
      <c r="K4" s="1" t="n">
        <v>0</v>
      </c>
      <c r="L4" s="2" t="n">
        <v>1879.997</v>
      </c>
      <c r="M4" s="1" t="n">
        <v>0</v>
      </c>
      <c r="N4" s="1" t="inlineStr">
        <is>
          <t>-</t>
        </is>
      </c>
      <c r="O4" s="3">
        <f>COS(ATAN(L4/J4))</f>
        <v/>
      </c>
      <c r="P4" s="3" t="n">
        <v>0.9496959744840617</v>
      </c>
      <c r="Q4" s="4" t="inlineStr">
        <is>
          <t>PASS</t>
        </is>
      </c>
    </row>
    <row r="5" ht="61.5" customHeight="1">
      <c r="A5" s="1" t="n">
        <v>4</v>
      </c>
      <c r="B5" s="1" t="n">
        <v>1</v>
      </c>
      <c r="C5" s="1" t="n">
        <v>1</v>
      </c>
      <c r="D5" s="1" t="inlineStr">
        <is>
          <t>PV (with BESS IDLE)</t>
        </is>
      </c>
      <c r="E5" s="1" t="inlineStr">
        <is>
          <t>Leading</t>
        </is>
      </c>
      <c r="F5" s="1" t="n">
        <v>125000</v>
      </c>
      <c r="G5" s="2" t="n">
        <v>125571.789</v>
      </c>
      <c r="H5" s="1" t="n">
        <v>-41100</v>
      </c>
      <c r="I5" s="2" t="n">
        <v>-41488.885</v>
      </c>
      <c r="J5" s="2" t="n">
        <v>3780.002</v>
      </c>
      <c r="K5" s="1" t="n">
        <v>0</v>
      </c>
      <c r="L5" s="2" t="n">
        <v>-624.991</v>
      </c>
      <c r="M5" s="1" t="n">
        <v>0</v>
      </c>
      <c r="N5" s="1" t="inlineStr">
        <is>
          <t>-</t>
        </is>
      </c>
      <c r="O5" s="3">
        <f>COS(ATAN(L5/J5))</f>
        <v/>
      </c>
      <c r="P5" s="3" t="n">
        <v>0.9500858053465199</v>
      </c>
      <c r="Q5" s="4" t="inlineStr">
        <is>
          <t>PASS</t>
        </is>
      </c>
    </row>
    <row r="6" ht="61.5" customHeight="1">
      <c r="A6" s="1" t="n">
        <v>5</v>
      </c>
      <c r="B6" s="1" t="n">
        <v>1.025</v>
      </c>
      <c r="C6" s="1" t="n">
        <v>1</v>
      </c>
      <c r="D6" s="1" t="inlineStr">
        <is>
          <t>PV (with BESS IDLE)</t>
        </is>
      </c>
      <c r="E6" s="1" t="inlineStr">
        <is>
          <t>Lagging</t>
        </is>
      </c>
      <c r="F6" s="1" t="n">
        <v>125000</v>
      </c>
      <c r="G6" s="2" t="n">
        <v>125500.639</v>
      </c>
      <c r="H6" s="1" t="n">
        <v>41100</v>
      </c>
      <c r="I6" s="2" t="n">
        <v>41485.924</v>
      </c>
      <c r="J6" s="2" t="n">
        <v>3779.983</v>
      </c>
      <c r="K6" s="1" t="n">
        <v>0</v>
      </c>
      <c r="L6" s="2" t="n">
        <v>1819.983</v>
      </c>
      <c r="M6" s="1" t="n">
        <v>0</v>
      </c>
      <c r="N6" s="1" t="inlineStr">
        <is>
          <t>-</t>
        </is>
      </c>
      <c r="O6" s="3">
        <f>COS(ATAN(L6/J6))</f>
        <v/>
      </c>
      <c r="P6" s="3" t="n">
        <v>0.9490532994116575</v>
      </c>
      <c r="Q6" s="4" t="inlineStr">
        <is>
          <t>PASS</t>
        </is>
      </c>
    </row>
    <row r="7" ht="61.5" customHeight="1">
      <c r="A7" s="1" t="n">
        <v>6</v>
      </c>
      <c r="B7" s="1" t="n">
        <v>1.025</v>
      </c>
      <c r="C7" s="1" t="n">
        <v>1</v>
      </c>
      <c r="D7" s="1" t="inlineStr">
        <is>
          <t>PV (with BESS IDLE)</t>
        </is>
      </c>
      <c r="E7" s="1" t="inlineStr">
        <is>
          <t>Leading</t>
        </is>
      </c>
      <c r="F7" s="1" t="n">
        <v>125000</v>
      </c>
      <c r="G7" s="2" t="n">
        <v>125492.002</v>
      </c>
      <c r="H7" s="1" t="n">
        <v>-41100</v>
      </c>
      <c r="I7" s="2" t="n">
        <v>-42030.107</v>
      </c>
      <c r="J7" s="2" t="n">
        <v>3779.999</v>
      </c>
      <c r="K7" s="1" t="n">
        <v>0</v>
      </c>
      <c r="L7" s="2" t="n">
        <v>-649.999</v>
      </c>
      <c r="M7" s="1" t="n">
        <v>0</v>
      </c>
      <c r="N7" s="1" t="inlineStr">
        <is>
          <t>-</t>
        </is>
      </c>
      <c r="O7" s="3">
        <f>COS(ATAN(L7/J7))</f>
        <v/>
      </c>
      <c r="P7" s="3" t="n">
        <v>0.9502810312395898</v>
      </c>
      <c r="Q7" s="4" t="inlineStr">
        <is>
          <t>PASS</t>
        </is>
      </c>
    </row>
    <row r="8" ht="61.5" customHeight="1">
      <c r="A8" s="1" t="n">
        <v>7</v>
      </c>
      <c r="B8" s="1" t="n">
        <v>0.975</v>
      </c>
      <c r="C8" s="1" t="n">
        <v>1</v>
      </c>
      <c r="D8" s="1" t="inlineStr">
        <is>
          <t>BESS discharging (with PV IDLE)</t>
        </is>
      </c>
      <c r="E8" s="1" t="inlineStr">
        <is>
          <t>Lagging</t>
        </is>
      </c>
      <c r="F8" s="1" t="n">
        <v>125000</v>
      </c>
      <c r="G8" s="2" t="n">
        <v>125637.414</v>
      </c>
      <c r="H8" s="1" t="n">
        <v>41100</v>
      </c>
      <c r="I8" s="2" t="n">
        <v>42699.355</v>
      </c>
      <c r="J8" s="2" t="n">
        <v>0</v>
      </c>
      <c r="K8" s="1" t="n">
        <v>1990</v>
      </c>
      <c r="L8" s="2" t="n">
        <v>0</v>
      </c>
      <c r="M8" s="1" t="n">
        <v>-890</v>
      </c>
      <c r="N8" s="3">
        <f>COS(ATAN(M8/K8))</f>
        <v/>
      </c>
      <c r="O8" s="3" t="inlineStr">
        <is>
          <t>-</t>
        </is>
      </c>
      <c r="P8" s="3" t="n">
        <v>0.947728400949731</v>
      </c>
      <c r="Q8" s="4" t="inlineStr">
        <is>
          <t>PASS</t>
        </is>
      </c>
    </row>
    <row r="9" ht="61.5" customHeight="1">
      <c r="A9" s="1" t="n">
        <v>8</v>
      </c>
      <c r="B9" s="1" t="n">
        <v>0.975</v>
      </c>
      <c r="C9" s="1" t="n">
        <v>1</v>
      </c>
      <c r="D9" s="1" t="inlineStr">
        <is>
          <t>BESS discharging (with PV IDLE)</t>
        </is>
      </c>
      <c r="E9" s="1" t="inlineStr">
        <is>
          <t>Leading</t>
        </is>
      </c>
      <c r="F9" s="1" t="n">
        <v>125000</v>
      </c>
      <c r="G9" s="2" t="n">
        <v>125679.498</v>
      </c>
      <c r="H9" s="1" t="n">
        <v>-41100</v>
      </c>
      <c r="I9" s="2" t="n">
        <v>-42609.05</v>
      </c>
      <c r="J9" s="2" t="n">
        <v>0</v>
      </c>
      <c r="K9" s="1" t="n">
        <v>1990</v>
      </c>
      <c r="L9" s="2" t="n">
        <v>0</v>
      </c>
      <c r="M9" s="1" t="n">
        <v>450</v>
      </c>
      <c r="N9" s="3">
        <f>COS(ATAN(M9/K9))</f>
        <v/>
      </c>
      <c r="O9" s="3" t="inlineStr">
        <is>
          <t>-</t>
        </is>
      </c>
      <c r="P9" s="3" t="n">
        <v>0.9471599414883745</v>
      </c>
      <c r="Q9" s="4" t="inlineStr">
        <is>
          <t>PASS</t>
        </is>
      </c>
    </row>
    <row r="10" ht="61.5" customHeight="1">
      <c r="A10" s="1" t="n">
        <v>9</v>
      </c>
      <c r="B10" s="1" t="n">
        <v>1</v>
      </c>
      <c r="C10" s="1" t="n">
        <v>1</v>
      </c>
      <c r="D10" s="1" t="inlineStr">
        <is>
          <t>BESS discharging (with PV IDLE)</t>
        </is>
      </c>
      <c r="E10" s="1" t="inlineStr">
        <is>
          <t>Lagging</t>
        </is>
      </c>
      <c r="F10" s="1" t="n">
        <v>125000</v>
      </c>
      <c r="G10" s="2" t="n">
        <v>125648.956</v>
      </c>
      <c r="H10" s="1" t="n">
        <v>41100</v>
      </c>
      <c r="I10" s="2" t="n">
        <v>42502.799</v>
      </c>
      <c r="J10" s="2" t="n">
        <v>0</v>
      </c>
      <c r="K10" s="1" t="n">
        <v>1990</v>
      </c>
      <c r="L10" s="2" t="n">
        <v>0</v>
      </c>
      <c r="M10" s="1" t="n">
        <v>-880</v>
      </c>
      <c r="N10" s="3">
        <f>COS(ATAN(M10/K10))</f>
        <v/>
      </c>
      <c r="O10" s="3" t="inlineStr">
        <is>
          <t>-</t>
        </is>
      </c>
      <c r="P10" s="3" t="n">
        <v>0.948567211251342</v>
      </c>
      <c r="Q10" s="4" t="inlineStr">
        <is>
          <t>PASS</t>
        </is>
      </c>
    </row>
    <row r="11" ht="61.5" customHeight="1">
      <c r="A11" s="1" t="n">
        <v>10</v>
      </c>
      <c r="B11" s="1" t="n">
        <v>1</v>
      </c>
      <c r="C11" s="1" t="n">
        <v>1</v>
      </c>
      <c r="D11" s="1" t="inlineStr">
        <is>
          <t>BESS discharging (with PV IDLE)</t>
        </is>
      </c>
      <c r="E11" s="1" t="inlineStr">
        <is>
          <t>Leading</t>
        </is>
      </c>
      <c r="F11" s="1" t="n">
        <v>125000</v>
      </c>
      <c r="G11" s="2" t="n">
        <v>125680.552</v>
      </c>
      <c r="H11" s="1" t="n">
        <v>-41100</v>
      </c>
      <c r="I11" s="2" t="n">
        <v>-42118.069</v>
      </c>
      <c r="J11" s="2" t="n">
        <v>0</v>
      </c>
      <c r="K11" s="1" t="n">
        <v>1990</v>
      </c>
      <c r="L11" s="2" t="n">
        <v>0</v>
      </c>
      <c r="M11" s="1" t="n">
        <v>450</v>
      </c>
      <c r="N11" s="3">
        <f>COS(ATAN(M11/K11))</f>
        <v/>
      </c>
      <c r="O11" s="3" t="inlineStr">
        <is>
          <t>-</t>
        </is>
      </c>
      <c r="P11" s="3" t="n">
        <v>0.9484844372246111</v>
      </c>
      <c r="Q11" s="4" t="inlineStr">
        <is>
          <t>PASS</t>
        </is>
      </c>
    </row>
    <row r="12" ht="61.5" customHeight="1">
      <c r="A12" s="1" t="n">
        <v>11</v>
      </c>
      <c r="B12" s="1" t="n">
        <v>1.025</v>
      </c>
      <c r="C12" s="1" t="n">
        <v>1</v>
      </c>
      <c r="D12" s="1" t="inlineStr">
        <is>
          <t>BESS discharging (with PV IDLE)</t>
        </is>
      </c>
      <c r="E12" s="1" t="inlineStr">
        <is>
          <t>Lagging</t>
        </is>
      </c>
      <c r="F12" s="1" t="n">
        <v>125000</v>
      </c>
      <c r="G12" s="2" t="n">
        <v>125671.719</v>
      </c>
      <c r="H12" s="1" t="n">
        <v>41100</v>
      </c>
      <c r="I12" s="2" t="n">
        <v>42480.938</v>
      </c>
      <c r="J12" s="2" t="n">
        <v>0</v>
      </c>
      <c r="K12" s="1" t="n">
        <v>1990</v>
      </c>
      <c r="L12" s="2" t="n">
        <v>0</v>
      </c>
      <c r="M12" s="1" t="n">
        <v>-870</v>
      </c>
      <c r="N12" s="3">
        <f>COS(ATAN(M12/K12))</f>
        <v/>
      </c>
      <c r="O12" s="3" t="inlineStr">
        <is>
          <t>-</t>
        </is>
      </c>
      <c r="P12" s="3" t="n">
        <v>0.9482245174199238</v>
      </c>
      <c r="Q12" s="4" t="inlineStr">
        <is>
          <t>PASS</t>
        </is>
      </c>
    </row>
    <row r="13" ht="61.5" customHeight="1">
      <c r="A13" s="1" t="n">
        <v>12</v>
      </c>
      <c r="B13" s="1" t="n">
        <v>1.025</v>
      </c>
      <c r="C13" s="1" t="n">
        <v>1</v>
      </c>
      <c r="D13" s="1" t="inlineStr">
        <is>
          <t>BESS discharging (with PV IDLE)</t>
        </is>
      </c>
      <c r="E13" s="1" t="inlineStr">
        <is>
          <t>Leading</t>
        </is>
      </c>
      <c r="F13" s="1" t="n">
        <v>125000</v>
      </c>
      <c r="G13" s="2" t="n">
        <v>125692.025</v>
      </c>
      <c r="H13" s="1" t="n">
        <v>-41100</v>
      </c>
      <c r="I13" s="2" t="n">
        <v>-41681.654</v>
      </c>
      <c r="J13" s="2" t="n">
        <v>0</v>
      </c>
      <c r="K13" s="1" t="n">
        <v>1990</v>
      </c>
      <c r="L13" s="2" t="n">
        <v>0</v>
      </c>
      <c r="M13" s="1" t="n">
        <v>450</v>
      </c>
      <c r="N13" s="3">
        <f>COS(ATAN(M13/K13))</f>
        <v/>
      </c>
      <c r="O13" s="3" t="inlineStr">
        <is>
          <t>-</t>
        </is>
      </c>
      <c r="P13" s="3" t="n">
        <v>0.9471719930217543</v>
      </c>
      <c r="Q13" s="4" t="inlineStr">
        <is>
          <t>PASS</t>
        </is>
      </c>
    </row>
    <row r="14" ht="61.5" customHeight="1">
      <c r="A14" s="1" t="n">
        <v>13</v>
      </c>
      <c r="B14" s="1" t="n">
        <v>0.975</v>
      </c>
      <c r="C14" s="1" t="n">
        <v>1</v>
      </c>
      <c r="D14" s="1" t="inlineStr">
        <is>
          <t>BESS Charging (with PV IDLE)</t>
        </is>
      </c>
      <c r="E14" s="1" t="inlineStr">
        <is>
          <t>Lagging</t>
        </is>
      </c>
      <c r="F14" s="1" t="n">
        <v>-125000</v>
      </c>
      <c r="G14" s="2" t="n">
        <v>-125549.823</v>
      </c>
      <c r="H14" s="1" t="n">
        <v>41100</v>
      </c>
      <c r="I14" s="2" t="n">
        <v>42812.685</v>
      </c>
      <c r="J14" s="2" t="n">
        <v>0</v>
      </c>
      <c r="K14" s="1" t="n">
        <v>-1935</v>
      </c>
      <c r="L14" s="2" t="n">
        <v>0</v>
      </c>
      <c r="M14" s="1" t="n">
        <v>-890</v>
      </c>
      <c r="N14" s="3">
        <f>COS(ATAN(M14/K14))</f>
        <v/>
      </c>
      <c r="O14" s="3" t="inlineStr">
        <is>
          <t>-</t>
        </is>
      </c>
      <c r="P14" s="3" t="n">
        <v>0.948099374721293</v>
      </c>
      <c r="Q14" s="4" t="inlineStr">
        <is>
          <t>PASS</t>
        </is>
      </c>
    </row>
    <row r="15" ht="61.5" customHeight="1">
      <c r="A15" s="1" t="n">
        <v>14</v>
      </c>
      <c r="B15" s="1" t="n">
        <v>0.975</v>
      </c>
      <c r="C15" s="1" t="n">
        <v>1</v>
      </c>
      <c r="D15" s="1" t="inlineStr">
        <is>
          <t>BESS Charging (with PV IDLE)</t>
        </is>
      </c>
      <c r="E15" s="1" t="inlineStr">
        <is>
          <t>Leading</t>
        </is>
      </c>
      <c r="F15" s="1" t="n">
        <v>-125000</v>
      </c>
      <c r="G15" s="2" t="n">
        <v>-125513.017</v>
      </c>
      <c r="H15" s="1" t="n">
        <v>-41100</v>
      </c>
      <c r="I15" s="2" t="n">
        <v>-41076.118</v>
      </c>
      <c r="J15" s="2" t="n">
        <v>0</v>
      </c>
      <c r="K15" s="1" t="n">
        <v>-1935</v>
      </c>
      <c r="L15" s="2" t="n">
        <v>0</v>
      </c>
      <c r="M15" s="1" t="n">
        <v>430</v>
      </c>
      <c r="N15" s="3">
        <f>COS(ATAN(M15/K15))</f>
        <v/>
      </c>
      <c r="O15" s="3" t="inlineStr">
        <is>
          <t>-</t>
        </is>
      </c>
      <c r="P15" s="3" t="n">
        <v>0.9492626090927887</v>
      </c>
      <c r="Q15" s="4" t="inlineStr">
        <is>
          <t>PASS</t>
        </is>
      </c>
    </row>
    <row r="16" ht="61.5" customHeight="1">
      <c r="A16" s="1" t="n">
        <v>15</v>
      </c>
      <c r="B16" s="1" t="n">
        <v>1</v>
      </c>
      <c r="C16" s="1" t="n">
        <v>1</v>
      </c>
      <c r="D16" s="1" t="inlineStr">
        <is>
          <t>BESS Charging (with PV IDLE)</t>
        </is>
      </c>
      <c r="E16" s="1" t="inlineStr">
        <is>
          <t>Lagging</t>
        </is>
      </c>
      <c r="F16" s="1" t="n">
        <v>-125000</v>
      </c>
      <c r="G16" s="2" t="n">
        <v>-125534.101</v>
      </c>
      <c r="H16" s="1" t="n">
        <v>41100</v>
      </c>
      <c r="I16" s="2" t="n">
        <v>43330.596</v>
      </c>
      <c r="J16" s="2" t="n">
        <v>0</v>
      </c>
      <c r="K16" s="1" t="n">
        <v>-1935</v>
      </c>
      <c r="L16" s="2" t="n">
        <v>0</v>
      </c>
      <c r="M16" s="1" t="n">
        <v>-890</v>
      </c>
      <c r="N16" s="3">
        <f>COS(ATAN(M16/K16))</f>
        <v/>
      </c>
      <c r="O16" s="3" t="inlineStr">
        <is>
          <t>-</t>
        </is>
      </c>
      <c r="P16" s="3" t="n">
        <v>0.9489665638288313</v>
      </c>
      <c r="Q16" s="4" t="inlineStr">
        <is>
          <t>PASS</t>
        </is>
      </c>
    </row>
    <row r="17" ht="61.5" customHeight="1">
      <c r="A17" s="1" t="n">
        <v>16</v>
      </c>
      <c r="B17" s="1" t="n">
        <v>1</v>
      </c>
      <c r="C17" s="1" t="n">
        <v>1</v>
      </c>
      <c r="D17" s="1" t="inlineStr">
        <is>
          <t>BESS Charging (with PV IDLE)</t>
        </is>
      </c>
      <c r="E17" s="1" t="inlineStr">
        <is>
          <t>Leading</t>
        </is>
      </c>
      <c r="F17" s="1" t="n">
        <v>-125000</v>
      </c>
      <c r="G17" s="2" t="n">
        <v>-125506.995</v>
      </c>
      <c r="H17" s="1" t="n">
        <v>-41100</v>
      </c>
      <c r="I17" s="2" t="n">
        <v>-42657.725</v>
      </c>
      <c r="J17" s="2" t="n">
        <v>0</v>
      </c>
      <c r="K17" s="1" t="n">
        <v>-1935</v>
      </c>
      <c r="L17" s="2" t="n">
        <v>0</v>
      </c>
      <c r="M17" s="1" t="n">
        <v>460</v>
      </c>
      <c r="N17" s="3">
        <f>COS(ATAN(M17/K17))</f>
        <v/>
      </c>
      <c r="O17" s="3" t="inlineStr">
        <is>
          <t>-</t>
        </is>
      </c>
      <c r="P17" s="3" t="n">
        <v>0.9483305995427352</v>
      </c>
      <c r="Q17" s="4" t="inlineStr">
        <is>
          <t>PASS</t>
        </is>
      </c>
    </row>
    <row r="18" ht="61.5" customHeight="1">
      <c r="A18" s="1" t="n">
        <v>17</v>
      </c>
      <c r="B18" s="1" t="n">
        <v>1.025</v>
      </c>
      <c r="C18" s="1" t="n">
        <v>1</v>
      </c>
      <c r="D18" s="1" t="inlineStr">
        <is>
          <t>BESS Charging (with PV IDLE)</t>
        </is>
      </c>
      <c r="E18" s="1" t="inlineStr">
        <is>
          <t>Lagging</t>
        </is>
      </c>
      <c r="F18" s="1" t="n">
        <v>-125000</v>
      </c>
      <c r="G18" s="2" t="n">
        <v>-125534.993</v>
      </c>
      <c r="H18" s="1" t="n">
        <v>41100</v>
      </c>
      <c r="I18" s="2" t="n">
        <v>43513.425</v>
      </c>
      <c r="J18" s="2" t="n">
        <v>0</v>
      </c>
      <c r="K18" s="1" t="n">
        <v>-1935</v>
      </c>
      <c r="L18" s="2" t="n">
        <v>0</v>
      </c>
      <c r="M18" s="1" t="n">
        <v>-890</v>
      </c>
      <c r="N18" s="3">
        <f>COS(ATAN(M18/K18))</f>
        <v/>
      </c>
      <c r="O18" s="3" t="inlineStr">
        <is>
          <t>-</t>
        </is>
      </c>
      <c r="P18" s="3" t="n">
        <v>0.9483328681858643</v>
      </c>
      <c r="Q18" s="4" t="inlineStr">
        <is>
          <t>PASS</t>
        </is>
      </c>
    </row>
    <row r="19" ht="61.5" customHeight="1">
      <c r="A19" s="1" t="n">
        <v>18</v>
      </c>
      <c r="B19" s="1" t="n">
        <v>1.025</v>
      </c>
      <c r="C19" s="1" t="n">
        <v>1</v>
      </c>
      <c r="D19" s="1" t="inlineStr">
        <is>
          <t>BESS Charging (with PV IDLE)</t>
        </is>
      </c>
      <c r="E19" s="1" t="inlineStr">
        <is>
          <t>Leading</t>
        </is>
      </c>
      <c r="F19" s="1" t="n">
        <v>-125000</v>
      </c>
      <c r="G19" s="2" t="n">
        <v>-125497.519</v>
      </c>
      <c r="H19" s="1" t="n">
        <v>-41100</v>
      </c>
      <c r="I19" s="2" t="n">
        <v>-42906.725</v>
      </c>
      <c r="J19" s="2" t="n">
        <v>0</v>
      </c>
      <c r="K19" s="1" t="n">
        <v>-1935</v>
      </c>
      <c r="L19" s="2" t="n">
        <v>0</v>
      </c>
      <c r="M19" s="1" t="n">
        <v>470</v>
      </c>
      <c r="N19" s="3">
        <f>COS(ATAN(M19/K19))</f>
        <v/>
      </c>
      <c r="O19" s="3" t="inlineStr">
        <is>
          <t>-</t>
        </is>
      </c>
      <c r="P19" s="3" t="n">
        <v>0.9477433356663753</v>
      </c>
      <c r="Q19" s="4" t="inlineStr">
        <is>
          <t>PASS</t>
        </is>
      </c>
    </row>
    <row r="20" ht="61.5" customHeight="1">
      <c r="A20" s="1" t="n">
        <v>19</v>
      </c>
      <c r="B20" s="1" t="n">
        <v>0.975</v>
      </c>
      <c r="C20" s="1" t="n">
        <v>1</v>
      </c>
      <c r="D20" s="1" t="inlineStr">
        <is>
          <t>PV and BESS combined</t>
        </is>
      </c>
      <c r="E20" s="1" t="inlineStr">
        <is>
          <t>Lagging</t>
        </is>
      </c>
      <c r="F20" s="1" t="n">
        <v>250000</v>
      </c>
      <c r="G20" s="2" t="n">
        <v>250405.41</v>
      </c>
      <c r="H20" s="1" t="n">
        <v>82200</v>
      </c>
      <c r="I20" s="2" t="n">
        <v>83376.489</v>
      </c>
      <c r="J20" s="2" t="n">
        <v>3500</v>
      </c>
      <c r="K20" s="1" t="n">
        <v>2120</v>
      </c>
      <c r="L20" s="2" t="n">
        <v>2500</v>
      </c>
      <c r="M20" s="1" t="n">
        <v>-960</v>
      </c>
      <c r="N20" s="3">
        <f>COS(ATAN(M20/K20))</f>
        <v/>
      </c>
      <c r="O20" s="3">
        <f>COS(ATAN(L20/J20))</f>
        <v/>
      </c>
      <c r="P20" s="3" t="n">
        <v>0.9496398318754765</v>
      </c>
      <c r="Q20" s="4" t="inlineStr">
        <is>
          <t>PASS</t>
        </is>
      </c>
    </row>
    <row r="21" ht="61.5" customHeight="1">
      <c r="A21" s="1" t="n">
        <v>20</v>
      </c>
      <c r="B21" s="1" t="n">
        <v>0.975</v>
      </c>
      <c r="C21" s="1" t="n">
        <v>1</v>
      </c>
      <c r="D21" s="1" t="inlineStr">
        <is>
          <t>PV and BESS combined</t>
        </is>
      </c>
      <c r="E21" s="1" t="inlineStr">
        <is>
          <t>Leading</t>
        </is>
      </c>
      <c r="F21" s="1" t="n">
        <v>250000</v>
      </c>
      <c r="G21" s="2" t="n">
        <v>250833.584</v>
      </c>
      <c r="H21" s="1" t="n">
        <v>-82200</v>
      </c>
      <c r="I21" s="2" t="n">
        <v>-82686.35000000001</v>
      </c>
      <c r="J21" s="2" t="n">
        <v>3499.994</v>
      </c>
      <c r="K21" s="1" t="n">
        <v>2120</v>
      </c>
      <c r="L21" s="2" t="n">
        <v>-240.023</v>
      </c>
      <c r="M21" s="1" t="n">
        <v>250</v>
      </c>
      <c r="N21" s="3">
        <f>COS(ATAN(M21/K21))</f>
        <v/>
      </c>
      <c r="O21" s="3">
        <f>COS(ATAN(L21/J21))</f>
        <v/>
      </c>
      <c r="P21" s="3" t="n">
        <v>0.9494840712087652</v>
      </c>
      <c r="Q21" s="4" t="inlineStr">
        <is>
          <t>PASS</t>
        </is>
      </c>
    </row>
    <row r="22" ht="61.5" customHeight="1">
      <c r="A22" s="1" t="n">
        <v>21</v>
      </c>
      <c r="B22" s="1" t="n">
        <v>1</v>
      </c>
      <c r="C22" s="1" t="n">
        <v>1</v>
      </c>
      <c r="D22" s="1" t="inlineStr">
        <is>
          <t>PV and BESS combined</t>
        </is>
      </c>
      <c r="E22" s="1" t="inlineStr">
        <is>
          <t>Lagging</t>
        </is>
      </c>
      <c r="F22" s="1" t="n">
        <v>250000</v>
      </c>
      <c r="G22" s="2" t="n">
        <v>250462.176</v>
      </c>
      <c r="H22" s="1" t="n">
        <v>82200</v>
      </c>
      <c r="I22" s="2" t="n">
        <v>84602.04300000001</v>
      </c>
      <c r="J22" s="2" t="n">
        <v>3500.02</v>
      </c>
      <c r="K22" s="1" t="n">
        <v>2120</v>
      </c>
      <c r="L22" s="2" t="n">
        <v>2500.003</v>
      </c>
      <c r="M22" s="1" t="n">
        <v>-950</v>
      </c>
      <c r="N22" s="3">
        <f>COS(ATAN(M22/K22))</f>
        <v/>
      </c>
      <c r="O22" s="3">
        <f>COS(ATAN(L22/J22))</f>
        <v/>
      </c>
      <c r="P22" s="3" t="n">
        <v>0.9495890444639983</v>
      </c>
      <c r="Q22" s="4" t="inlineStr">
        <is>
          <t>PASS</t>
        </is>
      </c>
    </row>
    <row r="23" ht="61.5" customHeight="1">
      <c r="A23" s="1" t="n">
        <v>22</v>
      </c>
      <c r="B23" s="1" t="n">
        <v>1</v>
      </c>
      <c r="C23" s="1" t="n">
        <v>1</v>
      </c>
      <c r="D23" s="1" t="inlineStr">
        <is>
          <t>PV and BESS combined</t>
        </is>
      </c>
      <c r="E23" s="1" t="inlineStr">
        <is>
          <t>Leading</t>
        </is>
      </c>
      <c r="F23" s="1" t="n">
        <v>250000</v>
      </c>
      <c r="G23" s="2" t="n">
        <v>250881.816</v>
      </c>
      <c r="H23" s="1" t="n">
        <v>-82200</v>
      </c>
      <c r="I23" s="2" t="n">
        <v>-83610.171</v>
      </c>
      <c r="J23" s="2" t="n">
        <v>3499.988</v>
      </c>
      <c r="K23" s="1" t="n">
        <v>2120</v>
      </c>
      <c r="L23" s="2" t="n">
        <v>-260.001</v>
      </c>
      <c r="M23" s="1" t="n">
        <v>280</v>
      </c>
      <c r="N23" s="3">
        <f>COS(ATAN(M23/K23))</f>
        <v/>
      </c>
      <c r="O23" s="3">
        <f>COS(ATAN(L23/J23))</f>
        <v/>
      </c>
      <c r="P23" s="3" t="n">
        <v>0.9467341395585863</v>
      </c>
      <c r="Q23" s="4" t="inlineStr">
        <is>
          <t>PASS</t>
        </is>
      </c>
    </row>
    <row r="24" ht="61.5" customHeight="1">
      <c r="A24" s="1" t="n">
        <v>23</v>
      </c>
      <c r="B24" s="1" t="n">
        <v>1.025</v>
      </c>
      <c r="C24" s="1" t="n">
        <v>1</v>
      </c>
      <c r="D24" s="1" t="inlineStr">
        <is>
          <t>PV and BESS combined</t>
        </is>
      </c>
      <c r="E24" s="1" t="inlineStr">
        <is>
          <t>Lagging</t>
        </is>
      </c>
      <c r="F24" s="1" t="n">
        <v>250000</v>
      </c>
      <c r="G24" s="2" t="n">
        <v>250539.588</v>
      </c>
      <c r="H24" s="1" t="n">
        <v>82200</v>
      </c>
      <c r="I24" s="2" t="n">
        <v>83660.726</v>
      </c>
      <c r="J24" s="2" t="n">
        <v>3499.964</v>
      </c>
      <c r="K24" s="1" t="n">
        <v>2120</v>
      </c>
      <c r="L24" s="2" t="n">
        <v>2450.013</v>
      </c>
      <c r="M24" s="1" t="n">
        <v>-930</v>
      </c>
      <c r="N24" s="3">
        <f>COS(ATAN(M24/K24))</f>
        <v/>
      </c>
      <c r="O24" s="3">
        <f>COS(ATAN(L24/J24))</f>
        <v/>
      </c>
      <c r="P24" s="3" t="n">
        <v>0.9493035293887349</v>
      </c>
      <c r="Q24" s="4" t="inlineStr">
        <is>
          <t>PASS</t>
        </is>
      </c>
    </row>
    <row r="25" ht="61.5" customHeight="1">
      <c r="A25" s="1" t="n">
        <v>24</v>
      </c>
      <c r="B25" s="1" t="n">
        <v>1.025</v>
      </c>
      <c r="C25" s="1" t="n">
        <v>1</v>
      </c>
      <c r="D25" s="1" t="inlineStr">
        <is>
          <t>PV and BESS combined</t>
        </is>
      </c>
      <c r="E25" s="1" t="inlineStr">
        <is>
          <t>Leading</t>
        </is>
      </c>
      <c r="F25" s="1" t="n">
        <v>250000</v>
      </c>
      <c r="G25" s="2" t="n">
        <v>250930.871</v>
      </c>
      <c r="H25" s="1" t="n">
        <v>-82200</v>
      </c>
      <c r="I25" s="2" t="n">
        <v>-82138.38499999999</v>
      </c>
      <c r="J25" s="2" t="n">
        <v>3500.001</v>
      </c>
      <c r="K25" s="1" t="n">
        <v>2120</v>
      </c>
      <c r="L25" s="2" t="n">
        <v>-270</v>
      </c>
      <c r="M25" s="1" t="n">
        <v>280</v>
      </c>
      <c r="N25" s="3">
        <f>COS(ATAN(M25/K25))</f>
        <v/>
      </c>
      <c r="O25" s="3">
        <f>COS(ATAN(L25/J25))</f>
        <v/>
      </c>
      <c r="P25" s="3" t="n">
        <v>0.9491707649386852</v>
      </c>
      <c r="Q25" s="4" t="inlineStr">
        <is>
          <t>PASS</t>
        </is>
      </c>
    </row>
    <row r="26" ht="61.5" customHeight="1">
      <c r="A26" s="1" t="n">
        <v>25</v>
      </c>
      <c r="B26" s="1" t="n">
        <v>0.975</v>
      </c>
      <c r="C26" s="1" t="n">
        <v>0</v>
      </c>
      <c r="D26" s="1" t="inlineStr">
        <is>
          <t>Night time (neutral)</t>
        </is>
      </c>
      <c r="E26" s="3" t="inlineStr">
        <is>
          <t>N/A</t>
        </is>
      </c>
      <c r="F26" s="1" t="n">
        <v>0</v>
      </c>
      <c r="G26" s="2" t="n">
        <v>-1019.038</v>
      </c>
      <c r="H26" s="1" t="n">
        <v>0</v>
      </c>
      <c r="I26" s="2" t="n">
        <v>0.744</v>
      </c>
      <c r="J26" s="2" t="n">
        <v>0</v>
      </c>
      <c r="K26" s="1" t="n">
        <v>0</v>
      </c>
      <c r="L26" s="2" t="n">
        <v>-37</v>
      </c>
      <c r="M26" s="1" t="n">
        <v>10</v>
      </c>
      <c r="N26" s="1" t="inlineStr">
        <is>
          <t>-</t>
        </is>
      </c>
      <c r="O26" s="3" t="inlineStr">
        <is>
          <t>-</t>
        </is>
      </c>
      <c r="P26" s="3" t="inlineStr">
        <is>
          <t>N/A</t>
        </is>
      </c>
      <c r="Q26" s="4" t="inlineStr">
        <is>
          <t>PASS</t>
        </is>
      </c>
    </row>
    <row r="27" ht="61.5" customHeight="1">
      <c r="A27" s="1" t="n">
        <v>26</v>
      </c>
      <c r="B27" s="1" t="n">
        <v>1</v>
      </c>
      <c r="C27" s="1" t="n">
        <v>0</v>
      </c>
      <c r="D27" s="1" t="inlineStr">
        <is>
          <t>Night time (neutral)</t>
        </is>
      </c>
      <c r="E27" s="3" t="inlineStr">
        <is>
          <t>N/A</t>
        </is>
      </c>
      <c r="F27" s="1" t="n">
        <v>0</v>
      </c>
      <c r="G27" s="2" t="n">
        <v>-1019.25</v>
      </c>
      <c r="H27" s="1" t="n">
        <v>0</v>
      </c>
      <c r="I27" s="2" t="n">
        <v>11.502</v>
      </c>
      <c r="J27" s="2" t="n">
        <v>0</v>
      </c>
      <c r="K27" s="1" t="n">
        <v>0</v>
      </c>
      <c r="L27" s="2" t="n">
        <v>-33</v>
      </c>
      <c r="M27" s="1" t="n">
        <v>12</v>
      </c>
      <c r="N27" s="1" t="inlineStr">
        <is>
          <t>-</t>
        </is>
      </c>
      <c r="O27" s="3" t="inlineStr">
        <is>
          <t>-</t>
        </is>
      </c>
      <c r="P27" s="3" t="inlineStr">
        <is>
          <t>N/A</t>
        </is>
      </c>
      <c r="Q27" s="4" t="inlineStr">
        <is>
          <t>PASS</t>
        </is>
      </c>
    </row>
    <row r="28" ht="61.5" customHeight="1">
      <c r="A28" s="1" t="n">
        <v>27</v>
      </c>
      <c r="B28" s="1" t="n">
        <v>1.025</v>
      </c>
      <c r="C28" s="1" t="n">
        <v>0</v>
      </c>
      <c r="D28" s="1" t="inlineStr">
        <is>
          <t>Night time (neutral)</t>
        </is>
      </c>
      <c r="E28" s="3" t="inlineStr">
        <is>
          <t>N/A</t>
        </is>
      </c>
      <c r="F28" s="1" t="n">
        <v>0</v>
      </c>
      <c r="G28" s="2" t="n">
        <v>-1021.101</v>
      </c>
      <c r="H28" s="1" t="n">
        <v>0</v>
      </c>
      <c r="I28" s="2" t="n">
        <v>5.864</v>
      </c>
      <c r="J28" s="2" t="n">
        <v>0</v>
      </c>
      <c r="K28" s="1" t="n">
        <v>0</v>
      </c>
      <c r="L28" s="2" t="n">
        <v>-36</v>
      </c>
      <c r="M28" s="1" t="n">
        <v>10</v>
      </c>
      <c r="N28" s="1" t="inlineStr">
        <is>
          <t>-</t>
        </is>
      </c>
      <c r="O28" s="3" t="inlineStr">
        <is>
          <t>-</t>
        </is>
      </c>
      <c r="P28" s="3" t="inlineStr">
        <is>
          <t>N/A</t>
        </is>
      </c>
      <c r="Q28" s="4" t="inlineStr">
        <is>
          <t>PASS</t>
        </is>
      </c>
    </row>
    <row r="29" ht="61.5" customHeight="1">
      <c r="A29" s="1" t="n">
        <v>28</v>
      </c>
      <c r="B29" s="1" t="n">
        <v>0.975</v>
      </c>
      <c r="C29" s="1" t="n">
        <v>0</v>
      </c>
      <c r="D29" s="1" t="inlineStr">
        <is>
          <t>Native</t>
        </is>
      </c>
      <c r="E29" s="3" t="inlineStr">
        <is>
          <t>N/A</t>
        </is>
      </c>
      <c r="F29" s="1" t="n">
        <v>0</v>
      </c>
      <c r="G29" s="2" t="n">
        <v>125341.674</v>
      </c>
      <c r="H29" s="1" t="n">
        <v>0</v>
      </c>
      <c r="I29" s="2" t="n">
        <v>-19136.244</v>
      </c>
      <c r="J29" s="2" t="n">
        <v>3769.992</v>
      </c>
      <c r="K29" s="1" t="n">
        <v>0</v>
      </c>
      <c r="L29" s="2" t="n">
        <v>-0.001</v>
      </c>
      <c r="M29" s="1" t="n">
        <v>0</v>
      </c>
      <c r="N29" s="1" t="inlineStr">
        <is>
          <t>-</t>
        </is>
      </c>
      <c r="O29" s="3">
        <f>COS(ATAN(L29/J29))</f>
        <v/>
      </c>
      <c r="P29" s="3" t="inlineStr">
        <is>
          <t>N/A</t>
        </is>
      </c>
      <c r="Q29" s="4" t="inlineStr">
        <is>
          <t>PASS</t>
        </is>
      </c>
    </row>
    <row r="30" ht="61.5" customHeight="1">
      <c r="A30" s="1" t="n">
        <v>29</v>
      </c>
      <c r="B30" s="1" t="n">
        <v>1</v>
      </c>
      <c r="C30" s="1" t="n">
        <v>0</v>
      </c>
      <c r="D30" s="1" t="inlineStr">
        <is>
          <t>Native</t>
        </is>
      </c>
      <c r="E30" s="3" t="inlineStr">
        <is>
          <t>N/A</t>
        </is>
      </c>
      <c r="F30" s="1" t="n">
        <v>0</v>
      </c>
      <c r="G30" s="2" t="n">
        <v>125024.049</v>
      </c>
      <c r="H30" s="1" t="n">
        <v>0</v>
      </c>
      <c r="I30" s="2" t="n">
        <v>-18582.826</v>
      </c>
      <c r="J30" s="2" t="n">
        <v>3760</v>
      </c>
      <c r="K30" s="1" t="n">
        <v>0</v>
      </c>
      <c r="L30" s="2" t="n">
        <v>0</v>
      </c>
      <c r="M30" s="1" t="n">
        <v>0</v>
      </c>
      <c r="N30" s="1" t="inlineStr">
        <is>
          <t>-</t>
        </is>
      </c>
      <c r="O30" s="3">
        <f>COS(ATAN(L30/J30))</f>
        <v/>
      </c>
      <c r="P30" s="3" t="inlineStr">
        <is>
          <t>N/A</t>
        </is>
      </c>
      <c r="Q30" s="4" t="inlineStr">
        <is>
          <t>PASS</t>
        </is>
      </c>
    </row>
    <row r="31" ht="61.5" customHeight="1">
      <c r="A31" s="1" t="n">
        <v>30</v>
      </c>
      <c r="B31" s="1" t="n">
        <v>1.025</v>
      </c>
      <c r="C31" s="1" t="n">
        <v>0</v>
      </c>
      <c r="D31" s="1" t="inlineStr">
        <is>
          <t>Native</t>
        </is>
      </c>
      <c r="E31" s="3" t="inlineStr">
        <is>
          <t>N/A</t>
        </is>
      </c>
      <c r="F31" s="1" t="n">
        <v>0</v>
      </c>
      <c r="G31" s="2" t="n">
        <v>125033.315</v>
      </c>
      <c r="H31" s="1" t="n">
        <v>0</v>
      </c>
      <c r="I31" s="2" t="n">
        <v>-18211.171</v>
      </c>
      <c r="J31" s="2" t="n">
        <v>3760</v>
      </c>
      <c r="K31" s="1" t="n">
        <v>0</v>
      </c>
      <c r="L31" s="2" t="n">
        <v>0.001</v>
      </c>
      <c r="M31" s="1" t="n">
        <v>0</v>
      </c>
      <c r="N31" s="1" t="inlineStr">
        <is>
          <t>-</t>
        </is>
      </c>
      <c r="O31" s="3">
        <f>COS(ATAN(L31/J31))</f>
        <v/>
      </c>
      <c r="P31" s="3" t="inlineStr">
        <is>
          <t>N/A</t>
        </is>
      </c>
      <c r="Q31" s="4" t="inlineStr">
        <is>
          <t>PASS</t>
        </is>
      </c>
    </row>
    <row r="32" ht="61.5" customHeight="1">
      <c r="A32" s="1" t="n">
        <v>31</v>
      </c>
      <c r="B32" s="1" t="n">
        <v>0.975</v>
      </c>
      <c r="C32" s="1" t="n">
        <v>0</v>
      </c>
      <c r="D32" s="1" t="inlineStr">
        <is>
          <t>Night time (injecting)</t>
        </is>
      </c>
      <c r="E32" s="3" t="inlineStr">
        <is>
          <t>N/A</t>
        </is>
      </c>
      <c r="F32" s="1" t="n">
        <v>0</v>
      </c>
      <c r="G32" s="2" t="n">
        <v>1217</v>
      </c>
      <c r="H32" s="1" t="n">
        <v>-41100</v>
      </c>
      <c r="I32" s="2" t="n">
        <v>42181</v>
      </c>
      <c r="J32" s="2" t="n">
        <v>0</v>
      </c>
      <c r="K32" s="1" t="n">
        <v>0</v>
      </c>
      <c r="L32" s="2" t="n">
        <v>1250</v>
      </c>
      <c r="M32" s="1" t="n">
        <v>0</v>
      </c>
      <c r="N32" s="1" t="inlineStr">
        <is>
          <t>-</t>
        </is>
      </c>
      <c r="O32" s="3" t="inlineStr">
        <is>
          <t>-</t>
        </is>
      </c>
      <c r="P32" s="3" t="inlineStr">
        <is>
          <t>N/A</t>
        </is>
      </c>
      <c r="Q32" s="4" t="inlineStr">
        <is>
          <t>PASS</t>
        </is>
      </c>
    </row>
    <row r="33" ht="61.5" customHeight="1">
      <c r="A33" s="1" t="n">
        <v>32</v>
      </c>
      <c r="B33" s="1" t="n">
        <v>1</v>
      </c>
      <c r="C33" s="1" t="n">
        <v>0</v>
      </c>
      <c r="D33" s="1" t="inlineStr">
        <is>
          <t>Night time (injecting)</t>
        </is>
      </c>
      <c r="E33" s="3" t="inlineStr">
        <is>
          <t>N/A</t>
        </is>
      </c>
      <c r="F33" s="1" t="n">
        <v>0</v>
      </c>
      <c r="G33" s="2" t="n">
        <v>1216</v>
      </c>
      <c r="H33" s="1" t="n">
        <v>-41100</v>
      </c>
      <c r="I33" s="2" t="n">
        <v>42218</v>
      </c>
      <c r="J33" s="2" t="n">
        <v>0</v>
      </c>
      <c r="K33" s="1" t="n">
        <v>0</v>
      </c>
      <c r="L33" s="2" t="n">
        <v>1250</v>
      </c>
      <c r="M33" s="1" t="n">
        <v>0</v>
      </c>
      <c r="N33" s="1" t="inlineStr">
        <is>
          <t>-</t>
        </is>
      </c>
      <c r="O33" s="3" t="inlineStr">
        <is>
          <t>-</t>
        </is>
      </c>
      <c r="P33" s="3" t="inlineStr">
        <is>
          <t>N/A</t>
        </is>
      </c>
      <c r="Q33" s="4" t="inlineStr">
        <is>
          <t>PASS</t>
        </is>
      </c>
    </row>
    <row r="34" ht="61.5" customHeight="1">
      <c r="A34" s="1" t="n">
        <v>33</v>
      </c>
      <c r="B34" s="1" t="n">
        <v>1.025</v>
      </c>
      <c r="C34" s="1" t="n">
        <v>0</v>
      </c>
      <c r="D34" s="1" t="inlineStr">
        <is>
          <t>Night time (injecting)</t>
        </is>
      </c>
      <c r="E34" s="3" t="inlineStr">
        <is>
          <t>N/A</t>
        </is>
      </c>
      <c r="F34" s="1" t="n">
        <v>0</v>
      </c>
      <c r="G34" s="2" t="n">
        <v>1216</v>
      </c>
      <c r="H34" s="1" t="n">
        <v>-41100</v>
      </c>
      <c r="I34" s="2" t="n">
        <v>42200</v>
      </c>
      <c r="J34" s="2" t="n">
        <v>0</v>
      </c>
      <c r="K34" s="1" t="n">
        <v>0</v>
      </c>
      <c r="L34" s="2" t="n">
        <v>1250</v>
      </c>
      <c r="M34" s="1" t="n">
        <v>0</v>
      </c>
      <c r="N34" s="1" t="inlineStr">
        <is>
          <t>-</t>
        </is>
      </c>
      <c r="O34" s="3" t="inlineStr">
        <is>
          <t>-</t>
        </is>
      </c>
      <c r="P34" s="3" t="inlineStr">
        <is>
          <t>N/A</t>
        </is>
      </c>
      <c r="Q34" s="4" t="inlineStr">
        <is>
          <t>PASS</t>
        </is>
      </c>
    </row>
    <row r="35" ht="61.5" customHeight="1">
      <c r="A35" s="1" t="n">
        <v>34</v>
      </c>
      <c r="B35" s="1" t="n">
        <v>0.975</v>
      </c>
      <c r="C35" s="1" t="n">
        <v>0</v>
      </c>
      <c r="D35" s="1" t="inlineStr">
        <is>
          <t>Night time (absorbing)</t>
        </is>
      </c>
      <c r="E35" s="3" t="inlineStr">
        <is>
          <t>N/A</t>
        </is>
      </c>
      <c r="F35" s="1" t="n">
        <v>0</v>
      </c>
      <c r="G35" s="2" t="n">
        <v>1100</v>
      </c>
      <c r="H35" s="1" t="n">
        <v>25625</v>
      </c>
      <c r="I35" s="2" t="n">
        <v>-26263</v>
      </c>
      <c r="J35" s="2" t="n">
        <v>0</v>
      </c>
      <c r="K35" s="1" t="n">
        <v>0</v>
      </c>
      <c r="L35" s="2" t="n">
        <v>-800</v>
      </c>
      <c r="M35" s="1" t="n">
        <v>0</v>
      </c>
      <c r="N35" s="1" t="inlineStr">
        <is>
          <t>-</t>
        </is>
      </c>
      <c r="O35" s="3" t="inlineStr">
        <is>
          <t>-</t>
        </is>
      </c>
      <c r="P35" s="3" t="inlineStr">
        <is>
          <t>N/A</t>
        </is>
      </c>
      <c r="Q35" s="4" t="inlineStr">
        <is>
          <t>PASS</t>
        </is>
      </c>
    </row>
    <row r="36" ht="61.5" customHeight="1">
      <c r="A36" s="1" t="n">
        <v>35</v>
      </c>
      <c r="B36" s="1" t="n">
        <v>1</v>
      </c>
      <c r="C36" s="1" t="n">
        <v>0</v>
      </c>
      <c r="D36" s="1" t="inlineStr">
        <is>
          <t>Night time (absorbing)</t>
        </is>
      </c>
      <c r="E36" s="3" t="inlineStr">
        <is>
          <t>N/A</t>
        </is>
      </c>
      <c r="F36" s="1" t="n">
        <v>0</v>
      </c>
      <c r="G36" s="2" t="n">
        <v>1218</v>
      </c>
      <c r="H36" s="1" t="n">
        <v>41100</v>
      </c>
      <c r="I36" s="2" t="n">
        <v>-41173</v>
      </c>
      <c r="J36" s="2" t="n">
        <v>0</v>
      </c>
      <c r="K36" s="1" t="n">
        <v>0</v>
      </c>
      <c r="L36" s="2" t="n">
        <v>-1225</v>
      </c>
      <c r="M36" s="1" t="n">
        <v>0</v>
      </c>
      <c r="N36" s="1" t="inlineStr">
        <is>
          <t>-</t>
        </is>
      </c>
      <c r="O36" s="3" t="inlineStr">
        <is>
          <t>-</t>
        </is>
      </c>
      <c r="P36" s="3" t="inlineStr">
        <is>
          <t>N/A</t>
        </is>
      </c>
      <c r="Q36" s="4" t="inlineStr">
        <is>
          <t>PASS</t>
        </is>
      </c>
    </row>
    <row r="37" ht="61.5" customHeight="1">
      <c r="A37" s="1" t="n">
        <v>36</v>
      </c>
      <c r="B37" s="1" t="n">
        <v>1.025</v>
      </c>
      <c r="C37" s="1" t="n">
        <v>0</v>
      </c>
      <c r="D37" s="1" t="inlineStr">
        <is>
          <t>Night time (absorbing)</t>
        </is>
      </c>
      <c r="E37" s="3" t="inlineStr">
        <is>
          <t>N/A</t>
        </is>
      </c>
      <c r="F37" s="1" t="n">
        <v>0</v>
      </c>
      <c r="G37" s="2" t="n">
        <v>1217</v>
      </c>
      <c r="H37" s="1" t="n">
        <v>41100</v>
      </c>
      <c r="I37" s="2" t="n">
        <v>-41125</v>
      </c>
      <c r="J37" s="2" t="n">
        <v>0</v>
      </c>
      <c r="K37" s="1" t="n">
        <v>0</v>
      </c>
      <c r="L37" s="2" t="n">
        <v>-1225</v>
      </c>
      <c r="M37" s="1" t="n">
        <v>0</v>
      </c>
      <c r="N37" s="1" t="inlineStr">
        <is>
          <t>-</t>
        </is>
      </c>
      <c r="O37" s="3" t="inlineStr">
        <is>
          <t>-</t>
        </is>
      </c>
      <c r="P37" s="3" t="inlineStr">
        <is>
          <t>N/A</t>
        </is>
      </c>
      <c r="Q37" s="4" t="inlineStr">
        <is>
          <t>PASS</t>
        </is>
      </c>
    </row>
    <row r="38" ht="61.5" customHeight="1">
      <c r="A38" s="1" t="n">
        <v>37</v>
      </c>
      <c r="B38" s="1" t="n">
        <v>1.025</v>
      </c>
      <c r="C38" s="1" t="n">
        <v>0</v>
      </c>
      <c r="D38" s="1" t="inlineStr">
        <is>
          <t>LF 0</t>
        </is>
      </c>
      <c r="E38" s="3" t="inlineStr">
        <is>
          <t>N/A</t>
        </is>
      </c>
      <c r="F38" s="1" t="n">
        <v>0</v>
      </c>
      <c r="G38" s="2" t="n">
        <v>1216</v>
      </c>
      <c r="H38" s="1" t="n">
        <v>-41100</v>
      </c>
      <c r="I38" s="2" t="n">
        <v>42200</v>
      </c>
      <c r="J38" s="2" t="n">
        <v>0</v>
      </c>
      <c r="K38" s="1" t="n">
        <v>0</v>
      </c>
      <c r="L38" s="2" t="n">
        <v>1250</v>
      </c>
      <c r="M38" s="1" t="n">
        <v>0</v>
      </c>
      <c r="N38" s="1" t="inlineStr">
        <is>
          <t>-</t>
        </is>
      </c>
      <c r="O38" s="3" t="inlineStr">
        <is>
          <t>-</t>
        </is>
      </c>
      <c r="P38" s="3" t="inlineStr">
        <is>
          <t>N/A</t>
        </is>
      </c>
      <c r="Q38" s="4" t="inlineStr">
        <is>
          <t>PASS</t>
        </is>
      </c>
    </row>
    <row r="39" ht="61.5" customHeight="1">
      <c r="A39" s="1" t="n">
        <v>38</v>
      </c>
      <c r="B39" s="1" t="n">
        <v>0.975</v>
      </c>
      <c r="C39" s="1" t="n">
        <v>0</v>
      </c>
      <c r="D39" s="1" t="inlineStr">
        <is>
          <t>LF 25</t>
        </is>
      </c>
      <c r="E39" s="3" t="inlineStr">
        <is>
          <t>N/A</t>
        </is>
      </c>
      <c r="F39" s="1" t="n">
        <v>0</v>
      </c>
      <c r="G39" s="2" t="n">
        <v>1100</v>
      </c>
      <c r="H39" s="1" t="n">
        <v>25625</v>
      </c>
      <c r="I39" s="2" t="n">
        <v>-26263</v>
      </c>
      <c r="J39" s="2" t="n">
        <v>0</v>
      </c>
      <c r="K39" s="1" t="n">
        <v>0</v>
      </c>
      <c r="L39" s="2" t="n">
        <v>-800</v>
      </c>
      <c r="M39" s="1" t="n">
        <v>0</v>
      </c>
      <c r="N39" s="1" t="inlineStr">
        <is>
          <t>-</t>
        </is>
      </c>
      <c r="O39" s="3" t="inlineStr">
        <is>
          <t>-</t>
        </is>
      </c>
      <c r="P39" s="3" t="inlineStr">
        <is>
          <t>N/A</t>
        </is>
      </c>
      <c r="Q39" s="4" t="inlineStr">
        <is>
          <t>PASS</t>
        </is>
      </c>
    </row>
    <row r="40" ht="61.5" customHeight="1">
      <c r="A40" s="1" t="n">
        <v>39</v>
      </c>
      <c r="B40" s="1" t="n">
        <v>1</v>
      </c>
      <c r="C40" s="1" t="n">
        <v>0</v>
      </c>
      <c r="D40" s="1" t="inlineStr">
        <is>
          <t>LF 50</t>
        </is>
      </c>
      <c r="E40" s="3" t="inlineStr">
        <is>
          <t>N/A</t>
        </is>
      </c>
      <c r="F40" s="1" t="n">
        <v>0</v>
      </c>
      <c r="G40" s="2" t="n">
        <v>1218</v>
      </c>
      <c r="H40" s="1" t="n">
        <v>41100</v>
      </c>
      <c r="I40" s="2" t="n">
        <v>-41173</v>
      </c>
      <c r="J40" s="2" t="n">
        <v>0</v>
      </c>
      <c r="K40" s="1" t="n">
        <v>0</v>
      </c>
      <c r="L40" s="2" t="n">
        <v>-1225</v>
      </c>
      <c r="M40" s="1" t="n">
        <v>0</v>
      </c>
      <c r="N40" s="1" t="inlineStr">
        <is>
          <t>-</t>
        </is>
      </c>
      <c r="O40" s="3" t="inlineStr">
        <is>
          <t>-</t>
        </is>
      </c>
      <c r="P40" s="3" t="inlineStr">
        <is>
          <t>N/A</t>
        </is>
      </c>
      <c r="Q40" s="4" t="inlineStr">
        <is>
          <t>PASS</t>
        </is>
      </c>
    </row>
    <row r="41" ht="61.5" customHeight="1">
      <c r="A41" s="1" t="n">
        <v>40</v>
      </c>
      <c r="B41" s="1" t="n">
        <v>1.025</v>
      </c>
      <c r="C41" s="1" t="n">
        <v>0</v>
      </c>
      <c r="D41" s="1" t="inlineStr">
        <is>
          <t>LF 75</t>
        </is>
      </c>
      <c r="E41" s="3" t="inlineStr">
        <is>
          <t>N/A</t>
        </is>
      </c>
      <c r="F41" s="1" t="n">
        <v>0</v>
      </c>
      <c r="G41" s="2" t="n">
        <v>1217</v>
      </c>
      <c r="H41" s="1" t="n">
        <v>41100</v>
      </c>
      <c r="I41" s="2" t="n">
        <v>-41125</v>
      </c>
      <c r="J41" s="2" t="n">
        <v>0</v>
      </c>
      <c r="K41" s="1" t="n">
        <v>0</v>
      </c>
      <c r="L41" s="2" t="n">
        <v>-1225</v>
      </c>
      <c r="M41" s="1" t="n">
        <v>0</v>
      </c>
      <c r="N41" s="1" t="inlineStr">
        <is>
          <t>-</t>
        </is>
      </c>
      <c r="O41" s="3" t="inlineStr">
        <is>
          <t>-</t>
        </is>
      </c>
      <c r="P41" s="3" t="inlineStr">
        <is>
          <t>N/A</t>
        </is>
      </c>
      <c r="Q41" s="4" t="inlineStr">
        <is>
          <t>PASS</t>
        </is>
      </c>
    </row>
  </sheetData>
  <pageMargins left="0.25" right="0.25" top="0.75" bottom="0.75" header="0.3" footer="0.3"/>
  <pageSetup orientation="landscape" scale="1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topLeftCell="A18" zoomScale="40" zoomScaleNormal="40" workbookViewId="0">
      <selection activeCell="D38" sqref="D38:D41"/>
    </sheetView>
  </sheetViews>
  <sheetFormatPr baseColWidth="8" defaultColWidth="36.36328125" defaultRowHeight="14.5"/>
  <cols>
    <col width="34.453125" bestFit="1" customWidth="1" min="1" max="1"/>
    <col width="31" bestFit="1" customWidth="1" min="2" max="2"/>
    <col width="46.36328125" customWidth="1" min="3" max="3"/>
    <col width="139.90625" bestFit="1" customWidth="1" min="4" max="4"/>
    <col width="37.1796875" customWidth="1" min="5" max="5"/>
    <col width="43.6328125" customWidth="1" min="6" max="6"/>
    <col width="43.54296875" customWidth="1" min="7" max="7"/>
    <col width="45.6328125" customWidth="1" min="8" max="8"/>
    <col width="44.453125" customWidth="1" min="9" max="9"/>
    <col width="36.1796875" bestFit="1" customWidth="1" min="10" max="10"/>
    <col width="39.453125" customWidth="1" min="11" max="11"/>
  </cols>
  <sheetData>
    <row r="1" ht="336.5" customHeight="1">
      <c r="A1" s="5" t="inlineStr">
        <is>
          <t>Scenario</t>
        </is>
      </c>
      <c r="B1" s="5" t="inlineStr">
        <is>
          <t>Voltage</t>
        </is>
      </c>
      <c r="C1" s="5" t="inlineStr">
        <is>
          <t>Generation level</t>
        </is>
      </c>
      <c r="D1" s="5" t="inlineStr">
        <is>
          <t>Configuration</t>
        </is>
      </c>
      <c r="E1" s="5" t="inlineStr">
        <is>
          <t>Reactive Test</t>
        </is>
      </c>
      <c r="F1" s="5" t="inlineStr">
        <is>
          <t>Highest Inverter LV Voltage (%)</t>
        </is>
      </c>
      <c r="G1" s="5" t="inlineStr">
        <is>
          <t>Lowest Inverter LV Voltage (%)</t>
        </is>
      </c>
      <c r="H1" s="5" t="inlineStr">
        <is>
          <t>Highest Collector System MV Voltage (%)</t>
        </is>
      </c>
      <c r="I1" s="5" t="inlineStr">
        <is>
          <t>Lowest Collector System MV Voltage (%)</t>
        </is>
      </c>
      <c r="J1" s="5" t="inlineStr">
        <is>
          <t>MPT1 HS OLTC Tap(%)</t>
        </is>
      </c>
      <c r="K1" s="5" t="inlineStr">
        <is>
          <t>PASS/FAIL</t>
        </is>
      </c>
    </row>
    <row r="2" ht="61.5" customHeight="1">
      <c r="A2" s="7" t="n">
        <v>1</v>
      </c>
      <c r="B2" s="1" t="n">
        <v>0.975</v>
      </c>
      <c r="C2" s="7" t="n">
        <v>1</v>
      </c>
      <c r="D2" s="1" t="inlineStr">
        <is>
          <t>PV (with BESS IDLE)</t>
        </is>
      </c>
      <c r="E2" s="7" t="inlineStr">
        <is>
          <t>Leading</t>
        </is>
      </c>
      <c r="F2" s="7" t="n">
        <v>1.061</v>
      </c>
      <c r="G2" s="7" t="n">
        <v>1.01</v>
      </c>
      <c r="H2" s="7" t="n">
        <v>1.021</v>
      </c>
      <c r="I2" s="7" t="n">
        <v>1.01</v>
      </c>
      <c r="J2" s="8" t="n">
        <v>0</v>
      </c>
      <c r="K2" s="9" t="inlineStr">
        <is>
          <t>PASS</t>
        </is>
      </c>
    </row>
    <row r="3" ht="61.5" customHeight="1">
      <c r="A3" s="7" t="n">
        <v>2</v>
      </c>
      <c r="B3" s="1" t="n">
        <v>0.975</v>
      </c>
      <c r="C3" s="7" t="n">
        <v>1</v>
      </c>
      <c r="D3" s="1" t="inlineStr">
        <is>
          <t>PV (with BESS IDLE)</t>
        </is>
      </c>
      <c r="E3" s="7" t="inlineStr">
        <is>
          <t>Lagging</t>
        </is>
      </c>
      <c r="F3" s="7" t="n">
        <v>0.993</v>
      </c>
      <c r="G3" s="7" t="n">
        <v>0.987</v>
      </c>
      <c r="H3" s="7" t="n">
        <v>0.998</v>
      </c>
      <c r="I3" s="7" t="n">
        <v>0.993</v>
      </c>
      <c r="J3" s="8" t="n">
        <v>4.373913043478262</v>
      </c>
      <c r="K3" s="9" t="inlineStr">
        <is>
          <t>PASS</t>
        </is>
      </c>
    </row>
    <row r="4" ht="61.5" customHeight="1">
      <c r="A4" s="7" t="n">
        <v>3</v>
      </c>
      <c r="B4" s="1" t="n">
        <v>1</v>
      </c>
      <c r="C4" s="7" t="n">
        <v>1</v>
      </c>
      <c r="D4" s="1" t="inlineStr">
        <is>
          <t>PV (with BESS IDLE)</t>
        </is>
      </c>
      <c r="E4" s="7" t="inlineStr">
        <is>
          <t>Leading</t>
        </is>
      </c>
      <c r="F4" s="7" t="n">
        <v>1.059</v>
      </c>
      <c r="G4" s="7" t="n">
        <v>1.008</v>
      </c>
      <c r="H4" s="7" t="n">
        <v>1.019</v>
      </c>
      <c r="I4" s="7" t="n">
        <v>1.008</v>
      </c>
      <c r="J4" s="8" t="n">
        <v>-2.501449275362317</v>
      </c>
      <c r="K4" s="9" t="inlineStr">
        <is>
          <t>PASS</t>
        </is>
      </c>
    </row>
    <row r="5" ht="61.5" customHeight="1">
      <c r="A5" s="7" t="n">
        <v>4</v>
      </c>
      <c r="B5" s="1" t="n">
        <v>1</v>
      </c>
      <c r="C5" s="7" t="n">
        <v>1</v>
      </c>
      <c r="D5" s="1" t="inlineStr">
        <is>
          <t>PV (with BESS IDLE)</t>
        </is>
      </c>
      <c r="E5" s="7" t="inlineStr">
        <is>
          <t>Lagging</t>
        </is>
      </c>
      <c r="F5" s="7" t="n">
        <v>0.996</v>
      </c>
      <c r="G5" s="7" t="n">
        <v>0.99</v>
      </c>
      <c r="H5" s="7" t="n">
        <v>1.001</v>
      </c>
      <c r="I5" s="7" t="n">
        <v>0.996</v>
      </c>
      <c r="J5" s="8" t="n">
        <v>1.875362318840575</v>
      </c>
      <c r="K5" s="9" t="inlineStr">
        <is>
          <t>PASS</t>
        </is>
      </c>
    </row>
    <row r="6" ht="61.5" customHeight="1">
      <c r="A6" s="7" t="n">
        <v>5</v>
      </c>
      <c r="B6" s="1" t="n">
        <v>1.025</v>
      </c>
      <c r="C6" s="7" t="n">
        <v>1</v>
      </c>
      <c r="D6" s="1" t="inlineStr">
        <is>
          <t>PV (with BESS IDLE)</t>
        </is>
      </c>
      <c r="E6" s="7" t="inlineStr">
        <is>
          <t>Leading</t>
        </is>
      </c>
      <c r="F6" s="7" t="n">
        <v>1.067</v>
      </c>
      <c r="G6" s="7" t="n">
        <v>1.018</v>
      </c>
      <c r="H6" s="7" t="n">
        <v>1.029</v>
      </c>
      <c r="I6" s="7" t="n">
        <v>1.018</v>
      </c>
      <c r="J6" s="8" t="n">
        <v>-3.75072463768115</v>
      </c>
      <c r="K6" s="9" t="inlineStr">
        <is>
          <t>PASS</t>
        </is>
      </c>
    </row>
    <row r="7" ht="61.5" customHeight="1">
      <c r="A7" s="7" t="n">
        <v>6</v>
      </c>
      <c r="B7" s="1" t="n">
        <v>1.025</v>
      </c>
      <c r="C7" s="7" t="n">
        <v>1</v>
      </c>
      <c r="D7" s="1" t="inlineStr">
        <is>
          <t>PV (with BESS IDLE)</t>
        </is>
      </c>
      <c r="E7" s="7" t="inlineStr">
        <is>
          <t>Lagging</t>
        </is>
      </c>
      <c r="F7" s="7" t="n">
        <v>0.996</v>
      </c>
      <c r="G7" s="7" t="n">
        <v>0.99</v>
      </c>
      <c r="H7" s="7" t="n">
        <v>1.001</v>
      </c>
      <c r="I7" s="7" t="n">
        <v>0.996</v>
      </c>
      <c r="J7" s="8" t="n">
        <v>-0.6260869565217423</v>
      </c>
      <c r="K7" s="9" t="inlineStr">
        <is>
          <t>PASS</t>
        </is>
      </c>
    </row>
    <row r="8" ht="61.5" customHeight="1">
      <c r="A8" s="7" t="n">
        <v>7</v>
      </c>
      <c r="B8" s="1" t="n">
        <v>0.975</v>
      </c>
      <c r="C8" s="7" t="n">
        <v>1</v>
      </c>
      <c r="D8" s="1" t="inlineStr">
        <is>
          <t>BESS discharging (with PV IDLE)</t>
        </is>
      </c>
      <c r="E8" s="7" t="inlineStr">
        <is>
          <t>Leading</t>
        </is>
      </c>
      <c r="F8" s="7" t="n">
        <v>1.025</v>
      </c>
      <c r="G8" s="7" t="n">
        <v>1.01</v>
      </c>
      <c r="H8" s="7" t="n">
        <v>1.01</v>
      </c>
      <c r="I8" s="7" t="n">
        <v>1.01</v>
      </c>
      <c r="J8" s="8" t="n">
        <v>0</v>
      </c>
      <c r="K8" s="9" t="inlineStr">
        <is>
          <t>PASS</t>
        </is>
      </c>
    </row>
    <row r="9" ht="61.5" customHeight="1">
      <c r="A9" s="7" t="n">
        <v>8</v>
      </c>
      <c r="B9" s="1" t="n">
        <v>0.975</v>
      </c>
      <c r="C9" s="7" t="n">
        <v>1</v>
      </c>
      <c r="D9" s="1" t="inlineStr">
        <is>
          <t>BESS discharging (with PV IDLE)</t>
        </is>
      </c>
      <c r="E9" s="7" t="inlineStr">
        <is>
          <t>Lagging</t>
        </is>
      </c>
      <c r="F9" s="7" t="n">
        <v>0.994</v>
      </c>
      <c r="G9" s="7" t="n">
        <v>0.99</v>
      </c>
      <c r="H9" s="7" t="n">
        <v>0.994</v>
      </c>
      <c r="I9" s="7" t="n">
        <v>0.993</v>
      </c>
      <c r="J9" s="8" t="n">
        <v>4.373913043478262</v>
      </c>
      <c r="K9" s="9" t="inlineStr">
        <is>
          <t>PASS</t>
        </is>
      </c>
    </row>
    <row r="10" ht="61.5" customHeight="1">
      <c r="A10" s="7" t="n">
        <v>9</v>
      </c>
      <c r="B10" s="1" t="n">
        <v>1</v>
      </c>
      <c r="C10" s="7" t="n">
        <v>1</v>
      </c>
      <c r="D10" s="1" t="inlineStr">
        <is>
          <t>BESS discharging (with PV IDLE)</t>
        </is>
      </c>
      <c r="E10" s="7" t="inlineStr">
        <is>
          <t>Leading</t>
        </is>
      </c>
      <c r="F10" s="7" t="n">
        <v>1.023</v>
      </c>
      <c r="G10" s="7" t="n">
        <v>1.008</v>
      </c>
      <c r="H10" s="7" t="n">
        <v>1.009</v>
      </c>
      <c r="I10" s="7" t="n">
        <v>1.008</v>
      </c>
      <c r="J10" s="8" t="n">
        <v>-2.501449275362317</v>
      </c>
      <c r="K10" s="9" t="inlineStr">
        <is>
          <t>PASS</t>
        </is>
      </c>
    </row>
    <row r="11" ht="61.5" customHeight="1">
      <c r="A11" s="7" t="n">
        <v>10</v>
      </c>
      <c r="B11" s="1" t="n">
        <v>1</v>
      </c>
      <c r="C11" s="7" t="n">
        <v>1</v>
      </c>
      <c r="D11" s="1" t="inlineStr">
        <is>
          <t>BESS discharging (with PV IDLE)</t>
        </is>
      </c>
      <c r="E11" s="7" t="inlineStr">
        <is>
          <t>Lagging</t>
        </is>
      </c>
      <c r="F11" s="7" t="n">
        <v>0.996</v>
      </c>
      <c r="G11" s="7" t="n">
        <v>0.992</v>
      </c>
      <c r="H11" s="7" t="n">
        <v>0.996</v>
      </c>
      <c r="I11" s="7" t="n">
        <v>0.995</v>
      </c>
      <c r="J11" s="8" t="n">
        <v>1.875362318840575</v>
      </c>
      <c r="K11" s="9" t="inlineStr">
        <is>
          <t>PASS</t>
        </is>
      </c>
    </row>
    <row r="12" ht="61.5" customHeight="1">
      <c r="A12" s="7" t="n">
        <v>11</v>
      </c>
      <c r="B12" s="1" t="n">
        <v>1.025</v>
      </c>
      <c r="C12" s="7" t="n">
        <v>1</v>
      </c>
      <c r="D12" s="1" t="inlineStr">
        <is>
          <t>BESS discharging (with PV IDLE)</t>
        </is>
      </c>
      <c r="E12" s="7" t="inlineStr">
        <is>
          <t>Leading</t>
        </is>
      </c>
      <c r="F12" s="7" t="n">
        <v>1.033</v>
      </c>
      <c r="G12" s="7" t="n">
        <v>1.019</v>
      </c>
      <c r="H12" s="7" t="n">
        <v>1.019</v>
      </c>
      <c r="I12" s="7" t="n">
        <v>1.019</v>
      </c>
      <c r="J12" s="8" t="n">
        <v>-3.75072463768115</v>
      </c>
      <c r="K12" s="9" t="inlineStr">
        <is>
          <t>PASS</t>
        </is>
      </c>
    </row>
    <row r="13" ht="61.5" customHeight="1">
      <c r="A13" s="7" t="n">
        <v>12</v>
      </c>
      <c r="B13" s="1" t="n">
        <v>1.025</v>
      </c>
      <c r="C13" s="7" t="n">
        <v>1</v>
      </c>
      <c r="D13" s="1" t="inlineStr">
        <is>
          <t>BESS discharging (with PV IDLE)</t>
        </is>
      </c>
      <c r="E13" s="7" t="inlineStr">
        <is>
          <t>Lagging</t>
        </is>
      </c>
      <c r="F13" s="7" t="n">
        <v>0.997</v>
      </c>
      <c r="G13" s="7" t="n">
        <v>0.993</v>
      </c>
      <c r="H13" s="7" t="n">
        <v>0.997</v>
      </c>
      <c r="I13" s="7" t="n">
        <v>0.996</v>
      </c>
      <c r="J13" s="8" t="n">
        <v>-0.6260869565217423</v>
      </c>
      <c r="K13" s="9" t="inlineStr">
        <is>
          <t>PASS</t>
        </is>
      </c>
    </row>
    <row r="14" ht="61.5" customHeight="1">
      <c r="A14" s="7" t="n">
        <v>13</v>
      </c>
      <c r="B14" s="1" t="n">
        <v>0.975</v>
      </c>
      <c r="C14" s="7" t="n">
        <v>1</v>
      </c>
      <c r="D14" s="1" t="inlineStr">
        <is>
          <t>BESS Charging (with PV IDLE)</t>
        </is>
      </c>
      <c r="E14" s="7" t="inlineStr">
        <is>
          <t>Leading</t>
        </is>
      </c>
      <c r="F14" s="7" t="n">
        <v>1.015</v>
      </c>
      <c r="G14" s="7" t="n">
        <v>1.006</v>
      </c>
      <c r="H14" s="7" t="n">
        <v>1.007</v>
      </c>
      <c r="I14" s="7" t="n">
        <v>1.006</v>
      </c>
      <c r="J14" s="8" t="n">
        <v>0</v>
      </c>
      <c r="K14" s="9" t="inlineStr">
        <is>
          <t>PASS</t>
        </is>
      </c>
    </row>
    <row r="15" ht="61.5" customHeight="1">
      <c r="A15" s="7" t="n">
        <v>14</v>
      </c>
      <c r="B15" s="1" t="n">
        <v>0.975</v>
      </c>
      <c r="C15" s="7" t="n">
        <v>1</v>
      </c>
      <c r="D15" s="1" t="inlineStr">
        <is>
          <t>BESS Charging (with PV IDLE)</t>
        </is>
      </c>
      <c r="E15" s="7" t="inlineStr">
        <is>
          <t>Lagging</t>
        </is>
      </c>
      <c r="F15" s="7" t="n">
        <v>0.991</v>
      </c>
      <c r="G15" s="7" t="n">
        <v>0.981</v>
      </c>
      <c r="H15" s="7" t="n">
        <v>0.991</v>
      </c>
      <c r="I15" s="7" t="n">
        <v>0.99</v>
      </c>
      <c r="J15" s="8" t="n">
        <v>4.373913043478262</v>
      </c>
      <c r="K15" s="9" t="inlineStr">
        <is>
          <t>PASS</t>
        </is>
      </c>
    </row>
    <row r="16" ht="61.5" customHeight="1">
      <c r="A16" s="7" t="n">
        <v>15</v>
      </c>
      <c r="B16" s="1" t="n">
        <v>1</v>
      </c>
      <c r="C16" s="7" t="n">
        <v>1</v>
      </c>
      <c r="D16" s="1" t="inlineStr">
        <is>
          <t>BESS Charging (with PV IDLE)</t>
        </is>
      </c>
      <c r="E16" s="7" t="inlineStr">
        <is>
          <t>Leading</t>
        </is>
      </c>
      <c r="F16" s="7" t="n">
        <v>1.02</v>
      </c>
      <c r="G16" s="7" t="n">
        <v>1.012</v>
      </c>
      <c r="H16" s="7" t="n">
        <v>1.012</v>
      </c>
      <c r="I16" s="7" t="n">
        <v>1.012</v>
      </c>
      <c r="J16" s="8" t="n">
        <v>-1.875362318840575</v>
      </c>
      <c r="K16" s="9" t="inlineStr">
        <is>
          <t>PASS</t>
        </is>
      </c>
    </row>
    <row r="17" ht="61.5" customHeight="1">
      <c r="A17" s="7" t="n">
        <v>16</v>
      </c>
      <c r="B17" s="1" t="n">
        <v>1</v>
      </c>
      <c r="C17" s="7" t="n">
        <v>1</v>
      </c>
      <c r="D17" s="1" t="inlineStr">
        <is>
          <t>BESS Charging (with PV IDLE)</t>
        </is>
      </c>
      <c r="E17" s="7" t="inlineStr">
        <is>
          <t>Lagging</t>
        </is>
      </c>
      <c r="F17" s="7" t="n">
        <v>0.992</v>
      </c>
      <c r="G17" s="7" t="n">
        <v>0.981</v>
      </c>
      <c r="H17" s="7" t="n">
        <v>0.992</v>
      </c>
      <c r="I17" s="7" t="n">
        <v>0.991</v>
      </c>
      <c r="J17" s="8" t="n">
        <v>1.875362318840575</v>
      </c>
      <c r="K17" s="9" t="inlineStr">
        <is>
          <t>PASS</t>
        </is>
      </c>
    </row>
    <row r="18" ht="61.5" customHeight="1">
      <c r="A18" s="7" t="n">
        <v>17</v>
      </c>
      <c r="B18" s="1" t="n">
        <v>1.025</v>
      </c>
      <c r="C18" s="7" t="n">
        <v>1</v>
      </c>
      <c r="D18" s="1" t="inlineStr">
        <is>
          <t>BESS Charging (with PV IDLE)</t>
        </is>
      </c>
      <c r="E18" s="7" t="inlineStr">
        <is>
          <t>Leading</t>
        </is>
      </c>
      <c r="F18" s="7" t="n">
        <v>1.012</v>
      </c>
      <c r="G18" s="7" t="n">
        <v>0.997</v>
      </c>
      <c r="H18" s="7" t="n">
        <v>1.003</v>
      </c>
      <c r="I18" s="7" t="n">
        <v>0.997</v>
      </c>
      <c r="J18" s="8" t="n">
        <v>-5.000000000000004</v>
      </c>
      <c r="K18" s="9" t="inlineStr">
        <is>
          <t>PASS</t>
        </is>
      </c>
    </row>
    <row r="19" ht="61.5" customHeight="1">
      <c r="A19" s="7" t="n">
        <v>18</v>
      </c>
      <c r="B19" s="1" t="n">
        <v>1.025</v>
      </c>
      <c r="C19" s="7" t="n">
        <v>1</v>
      </c>
      <c r="D19" s="1" t="inlineStr">
        <is>
          <t>BESS Charging (with PV IDLE)</t>
        </is>
      </c>
      <c r="E19" s="7" t="inlineStr">
        <is>
          <t>Lagging</t>
        </is>
      </c>
      <c r="F19" s="7" t="n">
        <v>0.992</v>
      </c>
      <c r="G19" s="7" t="n">
        <v>0.982</v>
      </c>
      <c r="H19" s="7" t="n">
        <v>0.992</v>
      </c>
      <c r="I19" s="7" t="n">
        <v>0.992</v>
      </c>
      <c r="J19" s="8" t="n">
        <v>-0.6260869565217423</v>
      </c>
      <c r="K19" s="9" t="inlineStr">
        <is>
          <t>PASS</t>
        </is>
      </c>
    </row>
    <row r="20" ht="61.5" customHeight="1">
      <c r="A20" s="7" t="n">
        <v>19</v>
      </c>
      <c r="B20" s="1" t="n">
        <v>0.975</v>
      </c>
      <c r="C20" s="7" t="n">
        <v>1</v>
      </c>
      <c r="D20" s="1" t="inlineStr">
        <is>
          <t>PV and BESS combined</t>
        </is>
      </c>
      <c r="E20" s="7" t="inlineStr">
        <is>
          <t>Leading</t>
        </is>
      </c>
      <c r="F20" s="7" t="n">
        <v>1.087</v>
      </c>
      <c r="G20" s="7" t="n">
        <v>1.04</v>
      </c>
      <c r="H20" s="7" t="n">
        <v>1.036</v>
      </c>
      <c r="I20" s="7" t="n">
        <v>1.025</v>
      </c>
      <c r="J20" s="8" t="n">
        <v>-2.501449275362317</v>
      </c>
      <c r="K20" s="9" t="inlineStr">
        <is>
          <t>PASS</t>
        </is>
      </c>
    </row>
    <row r="21" ht="61.5" customHeight="1">
      <c r="A21" s="7" t="n">
        <v>20</v>
      </c>
      <c r="B21" s="1" t="n">
        <v>0.975</v>
      </c>
      <c r="C21" s="7" t="n">
        <v>1</v>
      </c>
      <c r="D21" s="1" t="inlineStr">
        <is>
          <t>PV and BESS combined</t>
        </is>
      </c>
      <c r="E21" s="7" t="inlineStr">
        <is>
          <t>Lagging</t>
        </is>
      </c>
      <c r="F21" s="7" t="n">
        <v>0.997</v>
      </c>
      <c r="G21" s="7" t="n">
        <v>0.99</v>
      </c>
      <c r="H21" s="7" t="n">
        <v>0.996</v>
      </c>
      <c r="I21" s="7" t="n">
        <v>0.991</v>
      </c>
      <c r="J21" s="8" t="n">
        <v>5.626086956521746</v>
      </c>
      <c r="K21" s="9" t="inlineStr">
        <is>
          <t>PASS</t>
        </is>
      </c>
    </row>
    <row r="22" ht="61.5" customHeight="1">
      <c r="A22" s="7" t="n">
        <v>21</v>
      </c>
      <c r="B22" s="1" t="n">
        <v>1</v>
      </c>
      <c r="C22" s="7" t="n">
        <v>1</v>
      </c>
      <c r="D22" s="1" t="inlineStr">
        <is>
          <t>PV and BESS combined</t>
        </is>
      </c>
      <c r="E22" s="7" t="inlineStr">
        <is>
          <t>Leading</t>
        </is>
      </c>
      <c r="F22" s="7" t="n">
        <v>1.09</v>
      </c>
      <c r="G22" s="7" t="n">
        <v>1.043</v>
      </c>
      <c r="H22" s="7" t="n">
        <v>1.04</v>
      </c>
      <c r="I22" s="7" t="n">
        <v>1.028</v>
      </c>
      <c r="J22" s="8" t="n">
        <v>-4.373913043478262</v>
      </c>
      <c r="K22" s="9" t="inlineStr">
        <is>
          <t>PASS</t>
        </is>
      </c>
    </row>
    <row r="23" ht="61.5" customHeight="1">
      <c r="A23" s="7" t="n">
        <v>22</v>
      </c>
      <c r="B23" s="1" t="n">
        <v>1</v>
      </c>
      <c r="C23" s="7" t="n">
        <v>1</v>
      </c>
      <c r="D23" s="1" t="inlineStr">
        <is>
          <t>PV and BESS combined</t>
        </is>
      </c>
      <c r="E23" s="7" t="inlineStr">
        <is>
          <t>Lagging</t>
        </is>
      </c>
      <c r="F23" s="7" t="n">
        <v>0.998</v>
      </c>
      <c r="G23" s="7" t="n">
        <v>0.991</v>
      </c>
      <c r="H23" s="7" t="n">
        <v>0.998</v>
      </c>
      <c r="I23" s="7" t="n">
        <v>0.992</v>
      </c>
      <c r="J23" s="8" t="n">
        <v>3.124637681159429</v>
      </c>
      <c r="K23" s="9" t="inlineStr">
        <is>
          <t>PASS</t>
        </is>
      </c>
    </row>
    <row r="24" ht="61.5" customHeight="1">
      <c r="A24" s="7" t="n">
        <v>23</v>
      </c>
      <c r="B24" s="1" t="n">
        <v>1.025</v>
      </c>
      <c r="C24" s="7" t="n">
        <v>1</v>
      </c>
      <c r="D24" s="1" t="inlineStr">
        <is>
          <t>PV and BESS combined</t>
        </is>
      </c>
      <c r="E24" s="7" t="inlineStr">
        <is>
          <t>Leading</t>
        </is>
      </c>
      <c r="F24" s="7" t="n">
        <v>1.09</v>
      </c>
      <c r="G24" s="7" t="n">
        <v>1.044</v>
      </c>
      <c r="H24" s="7" t="n">
        <v>1.041</v>
      </c>
      <c r="I24" s="7" t="n">
        <v>1.03</v>
      </c>
      <c r="J24" s="8" t="n">
        <v>-6.249275362318837</v>
      </c>
      <c r="K24" s="9" t="inlineStr">
        <is>
          <t>PASS</t>
        </is>
      </c>
    </row>
    <row r="25" ht="61.5" customHeight="1">
      <c r="A25" s="7" t="n">
        <v>24</v>
      </c>
      <c r="B25" s="1" t="n">
        <v>1.025</v>
      </c>
      <c r="C25" s="7" t="n">
        <v>1</v>
      </c>
      <c r="D25" s="1" t="inlineStr">
        <is>
          <t>PV and BESS combined</t>
        </is>
      </c>
      <c r="E25" s="7" t="inlineStr">
        <is>
          <t>Lagging</t>
        </is>
      </c>
      <c r="F25" s="7" t="n">
        <v>1</v>
      </c>
      <c r="G25" s="7" t="n">
        <v>0.993</v>
      </c>
      <c r="H25" s="7" t="n">
        <v>1</v>
      </c>
      <c r="I25" s="7" t="n">
        <v>0.994</v>
      </c>
      <c r="J25" s="8" t="n">
        <v>0.6260869565217423</v>
      </c>
      <c r="K25" s="9" t="inlineStr">
        <is>
          <t>PASS</t>
        </is>
      </c>
    </row>
    <row r="26" ht="61.5" customHeight="1">
      <c r="A26" s="7" t="n">
        <v>25</v>
      </c>
      <c r="B26" s="1" t="n">
        <v>0.975</v>
      </c>
      <c r="C26" s="7" t="n">
        <v>0</v>
      </c>
      <c r="D26" s="1" t="inlineStr">
        <is>
          <t>Night time (neutral)</t>
        </is>
      </c>
      <c r="E26" s="7" t="inlineStr">
        <is>
          <t>N/A</t>
        </is>
      </c>
      <c r="F26" s="7" t="n">
        <v>0.999</v>
      </c>
      <c r="G26" s="7" t="n">
        <v>0.998</v>
      </c>
      <c r="H26" s="7" t="n">
        <v>1</v>
      </c>
      <c r="I26" s="7" t="n">
        <v>0.999</v>
      </c>
      <c r="J26" s="8" t="n">
        <v>2.498550724637687</v>
      </c>
      <c r="K26" s="9" t="inlineStr">
        <is>
          <t>PASS</t>
        </is>
      </c>
    </row>
    <row r="27" ht="61.5" customHeight="1">
      <c r="A27" s="7" t="n">
        <v>26</v>
      </c>
      <c r="B27" s="1" t="n">
        <v>1</v>
      </c>
      <c r="C27" s="7" t="n">
        <v>0</v>
      </c>
      <c r="D27" s="1" t="inlineStr">
        <is>
          <t>Night time (neutral)</t>
        </is>
      </c>
      <c r="E27" s="7" t="inlineStr">
        <is>
          <t>N/A</t>
        </is>
      </c>
      <c r="F27" s="7" t="n">
        <v>1</v>
      </c>
      <c r="G27" s="7" t="n">
        <v>0.999</v>
      </c>
      <c r="H27" s="7" t="n">
        <v>1</v>
      </c>
      <c r="I27" s="7" t="n">
        <v>1</v>
      </c>
      <c r="J27" s="8" t="n">
        <v>0</v>
      </c>
      <c r="K27" s="9" t="inlineStr">
        <is>
          <t>PASS</t>
        </is>
      </c>
    </row>
    <row r="28" ht="61.5" customHeight="1">
      <c r="A28" s="7" t="n">
        <v>27</v>
      </c>
      <c r="B28" s="1" t="n">
        <v>1.025</v>
      </c>
      <c r="C28" s="7" t="n">
        <v>0</v>
      </c>
      <c r="D28" s="1" t="inlineStr">
        <is>
          <t>Night time (neutral)</t>
        </is>
      </c>
      <c r="E28" s="7" t="inlineStr">
        <is>
          <t>N/A</t>
        </is>
      </c>
      <c r="F28" s="7" t="n">
        <v>0.993</v>
      </c>
      <c r="G28" s="7" t="n">
        <v>0.992</v>
      </c>
      <c r="H28" s="7" t="n">
        <v>0.993</v>
      </c>
      <c r="I28" s="7" t="n">
        <v>0.993</v>
      </c>
      <c r="J28" s="8" t="n">
        <v>-3.124637681159429</v>
      </c>
      <c r="K28" s="9" t="inlineStr">
        <is>
          <t>PASS</t>
        </is>
      </c>
    </row>
    <row r="29" ht="61.5" customHeight="1">
      <c r="A29" s="7" t="n">
        <v>28</v>
      </c>
      <c r="B29" s="1" t="n">
        <v>0.975</v>
      </c>
      <c r="C29" s="7" t="n">
        <v>0</v>
      </c>
      <c r="D29" s="1" t="inlineStr">
        <is>
          <t>Native</t>
        </is>
      </c>
      <c r="E29" s="7" t="inlineStr">
        <is>
          <t>N/A</t>
        </is>
      </c>
      <c r="F29" s="7" t="n">
        <v>1.01</v>
      </c>
      <c r="G29" s="7" t="n">
        <v>0.997</v>
      </c>
      <c r="H29" s="7" t="n">
        <v>1.004</v>
      </c>
      <c r="I29" s="7" t="n">
        <v>0.997</v>
      </c>
      <c r="J29" s="8" t="n">
        <v>3.124637681159429</v>
      </c>
      <c r="K29" s="9" t="inlineStr">
        <is>
          <t>PASS</t>
        </is>
      </c>
    </row>
    <row r="30" ht="61.5" customHeight="1">
      <c r="A30" s="7" t="n">
        <v>29</v>
      </c>
      <c r="B30" s="1" t="n">
        <v>1</v>
      </c>
      <c r="C30" s="7" t="n">
        <v>0</v>
      </c>
      <c r="D30" s="1" t="inlineStr">
        <is>
          <t>Native</t>
        </is>
      </c>
      <c r="E30" s="7" t="inlineStr">
        <is>
          <t>N/A</t>
        </is>
      </c>
      <c r="F30" s="7" t="n">
        <v>1.011</v>
      </c>
      <c r="G30" s="7" t="n">
        <v>0.999</v>
      </c>
      <c r="H30" s="7" t="n">
        <v>1.005</v>
      </c>
      <c r="I30" s="7" t="n">
        <v>0.999</v>
      </c>
      <c r="J30" s="8" t="n">
        <v>0.6260869565217423</v>
      </c>
      <c r="K30" s="9" t="inlineStr">
        <is>
          <t>PASS</t>
        </is>
      </c>
    </row>
    <row r="31" ht="61.5" customHeight="1">
      <c r="A31" s="7" t="n">
        <v>30</v>
      </c>
      <c r="B31" s="1" t="n">
        <v>1.025</v>
      </c>
      <c r="C31" s="7" t="n">
        <v>0</v>
      </c>
      <c r="D31" s="1" t="inlineStr">
        <is>
          <t>Native</t>
        </is>
      </c>
      <c r="E31" s="7" t="inlineStr">
        <is>
          <t>N/A</t>
        </is>
      </c>
      <c r="F31" s="7" t="n">
        <v>1.011</v>
      </c>
      <c r="G31" s="7" t="n">
        <v>0.999</v>
      </c>
      <c r="H31" s="7" t="n">
        <v>1.005</v>
      </c>
      <c r="I31" s="7" t="n">
        <v>0.999</v>
      </c>
      <c r="J31" s="8" t="n">
        <v>-1.875362318840575</v>
      </c>
      <c r="K31" s="9" t="inlineStr">
        <is>
          <t>PASS</t>
        </is>
      </c>
    </row>
    <row r="32" ht="61.5" customHeight="1">
      <c r="A32" s="7" t="n">
        <v>31</v>
      </c>
      <c r="B32" s="1" t="n">
        <v>0.975</v>
      </c>
      <c r="C32" s="7" t="n">
        <v>0</v>
      </c>
      <c r="D32" s="1" t="inlineStr">
        <is>
          <t>Night time (injecting)</t>
        </is>
      </c>
      <c r="E32" s="7" t="inlineStr">
        <is>
          <t>N/A</t>
        </is>
      </c>
      <c r="F32" s="7" t="n"/>
      <c r="G32" s="7" t="n"/>
      <c r="H32" s="7" t="n"/>
      <c r="I32" s="7" t="n"/>
      <c r="J32" s="8" t="n"/>
      <c r="K32" s="9" t="inlineStr">
        <is>
          <t>PASS</t>
        </is>
      </c>
    </row>
    <row r="33" ht="61.5" customHeight="1">
      <c r="A33" s="7" t="n">
        <v>32</v>
      </c>
      <c r="B33" s="1" t="n">
        <v>1</v>
      </c>
      <c r="C33" s="7" t="n">
        <v>0</v>
      </c>
      <c r="D33" s="1" t="inlineStr">
        <is>
          <t>Night time (injecting)</t>
        </is>
      </c>
      <c r="E33" s="7" t="inlineStr">
        <is>
          <t>N/A</t>
        </is>
      </c>
      <c r="F33" s="7" t="n"/>
      <c r="G33" s="7" t="n"/>
      <c r="H33" s="7" t="n"/>
      <c r="I33" s="7" t="n"/>
      <c r="J33" s="8" t="n"/>
      <c r="K33" s="9" t="inlineStr">
        <is>
          <t>PASS</t>
        </is>
      </c>
    </row>
    <row r="34" ht="61.5" customHeight="1">
      <c r="A34" s="7" t="n">
        <v>33</v>
      </c>
      <c r="B34" s="1" t="n">
        <v>1.025</v>
      </c>
      <c r="C34" s="7" t="n">
        <v>0</v>
      </c>
      <c r="D34" s="1" t="inlineStr">
        <is>
          <t>Night time (injecting)</t>
        </is>
      </c>
      <c r="E34" s="7" t="inlineStr">
        <is>
          <t>N/A</t>
        </is>
      </c>
      <c r="F34" s="7" t="n"/>
      <c r="G34" s="7" t="n"/>
      <c r="H34" s="7" t="n"/>
      <c r="I34" s="7" t="n"/>
      <c r="J34" s="8" t="n"/>
      <c r="K34" s="9" t="inlineStr">
        <is>
          <t>PASS</t>
        </is>
      </c>
    </row>
    <row r="35" ht="61.5" customHeight="1">
      <c r="A35" s="7" t="n">
        <v>34</v>
      </c>
      <c r="B35" s="1" t="n">
        <v>0.975</v>
      </c>
      <c r="C35" s="7" t="n">
        <v>0</v>
      </c>
      <c r="D35" s="1" t="inlineStr">
        <is>
          <t>Night time (absorbing)</t>
        </is>
      </c>
      <c r="E35" s="7" t="inlineStr">
        <is>
          <t>N/A</t>
        </is>
      </c>
      <c r="F35" s="7" t="n"/>
      <c r="G35" s="7" t="n"/>
      <c r="H35" s="7" t="n"/>
      <c r="I35" s="7" t="n"/>
      <c r="J35" s="8" t="n"/>
      <c r="K35" s="9" t="inlineStr">
        <is>
          <t>PASS</t>
        </is>
      </c>
    </row>
    <row r="36" ht="61.5" customHeight="1">
      <c r="A36" s="7" t="n">
        <v>35</v>
      </c>
      <c r="B36" s="1" t="n">
        <v>1</v>
      </c>
      <c r="C36" s="7" t="n">
        <v>0</v>
      </c>
      <c r="D36" s="1" t="inlineStr">
        <is>
          <t>Night time (absorbing)</t>
        </is>
      </c>
      <c r="E36" s="7" t="inlineStr">
        <is>
          <t>N/A</t>
        </is>
      </c>
      <c r="F36" s="7" t="n"/>
      <c r="G36" s="7" t="n"/>
      <c r="H36" s="7" t="n"/>
      <c r="I36" s="7" t="n"/>
      <c r="J36" s="8" t="n"/>
      <c r="K36" s="9" t="inlineStr">
        <is>
          <t>PASS</t>
        </is>
      </c>
    </row>
    <row r="37" ht="61.5" customHeight="1">
      <c r="A37" s="7" t="n">
        <v>36</v>
      </c>
      <c r="B37" s="1" t="n">
        <v>1.025</v>
      </c>
      <c r="C37" s="7" t="n">
        <v>0</v>
      </c>
      <c r="D37" s="1" t="inlineStr">
        <is>
          <t>Night time (absorbing)</t>
        </is>
      </c>
      <c r="E37" s="7" t="inlineStr">
        <is>
          <t>N/A</t>
        </is>
      </c>
      <c r="F37" s="7" t="n"/>
      <c r="G37" s="7" t="n"/>
      <c r="H37" s="7" t="n"/>
      <c r="I37" s="7" t="n"/>
      <c r="J37" s="8" t="n"/>
      <c r="K37" s="9" t="inlineStr">
        <is>
          <t>PASS</t>
        </is>
      </c>
    </row>
    <row r="38" ht="61.5" customHeight="1">
      <c r="A38" s="7" t="n">
        <v>37</v>
      </c>
      <c r="B38" s="1" t="n">
        <v>1.025</v>
      </c>
      <c r="C38" s="7" t="n">
        <v>0</v>
      </c>
      <c r="D38" s="1" t="inlineStr">
        <is>
          <t>LF 0</t>
        </is>
      </c>
      <c r="E38" s="7" t="inlineStr">
        <is>
          <t>N/A</t>
        </is>
      </c>
      <c r="F38" s="7" t="n"/>
      <c r="G38" s="7" t="n"/>
      <c r="H38" s="7" t="n"/>
      <c r="I38" s="7" t="n"/>
      <c r="J38" s="8" t="n"/>
      <c r="K38" s="9" t="inlineStr">
        <is>
          <t>PASS</t>
        </is>
      </c>
    </row>
    <row r="39" ht="61.5" customHeight="1">
      <c r="A39" s="7" t="n">
        <v>38</v>
      </c>
      <c r="B39" s="1" t="n">
        <v>0.975</v>
      </c>
      <c r="C39" s="7" t="n">
        <v>0</v>
      </c>
      <c r="D39" s="1" t="inlineStr">
        <is>
          <t>LF 25</t>
        </is>
      </c>
      <c r="E39" s="7" t="inlineStr">
        <is>
          <t>N/A</t>
        </is>
      </c>
      <c r="F39" s="7" t="n"/>
      <c r="G39" s="7" t="n"/>
      <c r="H39" s="7" t="n"/>
      <c r="I39" s="7" t="n"/>
      <c r="J39" s="8" t="n"/>
      <c r="K39" s="9" t="inlineStr">
        <is>
          <t>PASS</t>
        </is>
      </c>
    </row>
    <row r="40" ht="61.5" customHeight="1">
      <c r="A40" s="7" t="n">
        <v>39</v>
      </c>
      <c r="B40" s="1" t="n">
        <v>1</v>
      </c>
      <c r="C40" s="7" t="n">
        <v>0</v>
      </c>
      <c r="D40" s="1" t="inlineStr">
        <is>
          <t>LF 50</t>
        </is>
      </c>
      <c r="E40" s="7" t="inlineStr">
        <is>
          <t>N/A</t>
        </is>
      </c>
      <c r="F40" s="7" t="n"/>
      <c r="G40" s="7" t="n"/>
      <c r="H40" s="7" t="n"/>
      <c r="I40" s="7" t="n"/>
      <c r="J40" s="8" t="n"/>
      <c r="K40" s="9" t="inlineStr">
        <is>
          <t>PASS</t>
        </is>
      </c>
    </row>
    <row r="41" ht="61.5" customHeight="1">
      <c r="A41" s="7" t="n">
        <v>40</v>
      </c>
      <c r="B41" s="1" t="n">
        <v>1.025</v>
      </c>
      <c r="C41" s="7" t="n">
        <v>0</v>
      </c>
      <c r="D41" s="1" t="inlineStr">
        <is>
          <t>LF 75</t>
        </is>
      </c>
      <c r="E41" s="7" t="inlineStr">
        <is>
          <t>N/A</t>
        </is>
      </c>
      <c r="F41" s="7" t="n"/>
      <c r="G41" s="7" t="n"/>
      <c r="H41" s="7" t="n"/>
      <c r="I41" s="7" t="n"/>
      <c r="J41" s="8" t="n"/>
      <c r="K41" s="9" t="inlineStr">
        <is>
          <t>PASS</t>
        </is>
      </c>
    </row>
  </sheetData>
  <pageMargins left="0.25" right="0.25" top="0.75" bottom="0.75" header="0.3" footer="0.3"/>
  <pageSetup orientation="landscape" scale="2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tabSelected="1" topLeftCell="A2" zoomScale="25" zoomScaleNormal="25" workbookViewId="0">
      <selection activeCell="D52" sqref="D52"/>
    </sheetView>
  </sheetViews>
  <sheetFormatPr baseColWidth="8" defaultColWidth="8.81640625" defaultRowHeight="14.5"/>
  <cols>
    <col width="34.1796875" customWidth="1" style="6" min="1" max="1"/>
    <col width="33.1796875" customWidth="1" style="6" min="2" max="2"/>
    <col width="47.54296875" customWidth="1" style="6" min="3" max="3"/>
    <col width="138" customWidth="1" style="6" min="4" max="4"/>
    <col width="40.08984375" customWidth="1" style="6" min="5" max="5"/>
    <col width="37.453125" customWidth="1" style="6" min="6" max="6"/>
    <col width="38.6328125" customWidth="1" style="6" min="7" max="7"/>
    <col width="42.1796875" customWidth="1" style="6" min="8" max="8"/>
    <col width="31.54296875" customWidth="1" style="6" min="9" max="9"/>
    <col width="33.6328125" customWidth="1" style="6" min="10" max="10"/>
    <col width="44.6328125" customWidth="1" style="6" min="11" max="11"/>
    <col width="47.81640625" customWidth="1" style="6" min="12" max="14"/>
    <col width="45.08984375" customWidth="1" style="6" min="15" max="15"/>
    <col width="8.81640625" customWidth="1" style="6" min="16" max="16384"/>
  </cols>
  <sheetData>
    <row r="1" ht="307.5" customHeight="1">
      <c r="A1" s="5" t="inlineStr">
        <is>
          <t>Scenario</t>
        </is>
      </c>
      <c r="B1" s="5" t="inlineStr">
        <is>
          <t>Voltage</t>
        </is>
      </c>
      <c r="C1" s="5" t="inlineStr">
        <is>
          <t>Generation level</t>
        </is>
      </c>
      <c r="D1" s="5" t="inlineStr">
        <is>
          <t>Configuration</t>
        </is>
      </c>
      <c r="E1" s="5" t="inlineStr">
        <is>
          <t>Reactive Test</t>
        </is>
      </c>
      <c r="F1" s="5" t="inlineStr">
        <is>
          <t>Current through MPT1 (A)</t>
        </is>
      </c>
      <c r="G1" s="5" t="inlineStr">
        <is>
          <t>Current through MPT2 (A)</t>
        </is>
      </c>
      <c r="H1" s="5" t="inlineStr">
        <is>
          <t>Max allowed current through MPT (A)</t>
        </is>
      </c>
      <c r="I1" s="5" t="inlineStr">
        <is>
          <t>Max ISU PV current (A)</t>
        </is>
      </c>
      <c r="J1" s="5" t="inlineStr">
        <is>
          <t>Max ISU BESS current (A)</t>
        </is>
      </c>
      <c r="K1" s="5" t="inlineStr">
        <is>
          <t>Max allowed current through ISU PV (A)</t>
        </is>
      </c>
      <c r="L1" s="5" t="inlineStr">
        <is>
          <t>Max allowed current through ISU BESS (A)</t>
        </is>
      </c>
      <c r="M1" s="5" t="inlineStr">
        <is>
          <t>MPT1 % loading</t>
        </is>
      </c>
      <c r="N1" s="5" t="inlineStr">
        <is>
          <t>MPT2 % loading</t>
        </is>
      </c>
      <c r="O1" s="5" t="inlineStr">
        <is>
          <t>PASS/FAIL</t>
        </is>
      </c>
    </row>
    <row r="2" ht="61.5" customHeight="1">
      <c r="A2" s="1" t="n">
        <v>1</v>
      </c>
      <c r="B2" s="1" t="n">
        <v>0.975</v>
      </c>
      <c r="C2" s="1" t="n">
        <v>1</v>
      </c>
      <c r="D2" s="1" t="inlineStr">
        <is>
          <t>PV (with BESS IDLE)</t>
        </is>
      </c>
      <c r="E2" s="1" t="inlineStr">
        <is>
          <t>Leading</t>
        </is>
      </c>
      <c r="F2" s="1" t="n">
        <v>1134.4</v>
      </c>
      <c r="G2" s="1" t="n">
        <v>1138.3</v>
      </c>
      <c r="H2" s="1" t="n">
        <v>2510.2</v>
      </c>
      <c r="I2" s="1" t="n">
        <v>3598.4</v>
      </c>
      <c r="J2" s="1" t="n">
        <v>0</v>
      </c>
      <c r="K2" s="1" t="n">
        <v>3938.5</v>
      </c>
      <c r="L2" s="1" t="n">
        <v>7649.9</v>
      </c>
      <c r="M2" s="3">
        <f>F2/H2*100</f>
        <v/>
      </c>
      <c r="N2" s="3">
        <f>G2/H2*100</f>
        <v/>
      </c>
      <c r="O2" s="4" t="inlineStr">
        <is>
          <t>PASS</t>
        </is>
      </c>
    </row>
    <row r="3" ht="61.5" customHeight="1">
      <c r="A3" s="1" t="n">
        <v>2</v>
      </c>
      <c r="B3" s="1" t="n">
        <v>0.975</v>
      </c>
      <c r="C3" s="1" t="n">
        <v>1</v>
      </c>
      <c r="D3" s="1" t="inlineStr">
        <is>
          <t>PV (with BESS IDLE)</t>
        </is>
      </c>
      <c r="E3" s="1" t="inlineStr">
        <is>
          <t>Lagging</t>
        </is>
      </c>
      <c r="F3" s="1" t="n">
        <v>1090.3</v>
      </c>
      <c r="G3" s="1" t="n">
        <v>1090.6</v>
      </c>
      <c r="H3" s="1" t="n">
        <v>2510.2</v>
      </c>
      <c r="I3" s="1" t="n">
        <v>3480.2</v>
      </c>
      <c r="J3" s="1" t="n">
        <v>0</v>
      </c>
      <c r="K3" s="1" t="n">
        <v>3938.5</v>
      </c>
      <c r="L3" s="1" t="n">
        <v>7649.9</v>
      </c>
      <c r="M3" s="3">
        <f>F3/H3*100</f>
        <v/>
      </c>
      <c r="N3" s="3">
        <f>G3/H3*100</f>
        <v/>
      </c>
      <c r="O3" s="4" t="inlineStr">
        <is>
          <t>PASS</t>
        </is>
      </c>
    </row>
    <row r="4" ht="61.5" customHeight="1">
      <c r="A4" s="1" t="n">
        <v>3</v>
      </c>
      <c r="B4" s="1" t="n">
        <v>1</v>
      </c>
      <c r="C4" s="1" t="n">
        <v>1</v>
      </c>
      <c r="D4" s="1" t="inlineStr">
        <is>
          <t>PV (with BESS IDLE)</t>
        </is>
      </c>
      <c r="E4" s="1" t="inlineStr">
        <is>
          <t>Leading</t>
        </is>
      </c>
      <c r="F4" s="1" t="n">
        <v>1133.9</v>
      </c>
      <c r="G4" s="1" t="n">
        <v>1137.8</v>
      </c>
      <c r="H4" s="1" t="n">
        <v>2510.2</v>
      </c>
      <c r="I4" s="1" t="n">
        <v>3597.1</v>
      </c>
      <c r="J4" s="1" t="n">
        <v>0</v>
      </c>
      <c r="K4" s="1" t="n">
        <v>3938.5</v>
      </c>
      <c r="L4" s="1" t="n">
        <v>7649.9</v>
      </c>
      <c r="M4" s="3">
        <f>F4/H4*100</f>
        <v/>
      </c>
      <c r="N4" s="3">
        <f>G4/H4*100</f>
        <v/>
      </c>
      <c r="O4" s="4" t="inlineStr">
        <is>
          <t>PASS</t>
        </is>
      </c>
    </row>
    <row r="5" ht="61.5" customHeight="1">
      <c r="A5" s="1" t="n">
        <v>4</v>
      </c>
      <c r="B5" s="1" t="n">
        <v>1</v>
      </c>
      <c r="C5" s="1" t="n">
        <v>1</v>
      </c>
      <c r="D5" s="1" t="inlineStr">
        <is>
          <t>PV (with BESS IDLE)</t>
        </is>
      </c>
      <c r="E5" s="1" t="inlineStr">
        <is>
          <t>Lagging</t>
        </is>
      </c>
      <c r="F5" s="1" t="n">
        <v>1085.6</v>
      </c>
      <c r="G5" s="1" t="n">
        <v>1087.1</v>
      </c>
      <c r="H5" s="1" t="n">
        <v>2510.2</v>
      </c>
      <c r="I5" s="1" t="n">
        <v>3464.6</v>
      </c>
      <c r="J5" s="1" t="n">
        <v>0</v>
      </c>
      <c r="K5" s="1" t="n">
        <v>3938.5</v>
      </c>
      <c r="L5" s="1" t="n">
        <v>7649.9</v>
      </c>
      <c r="M5" s="3">
        <f>F5/H5*100</f>
        <v/>
      </c>
      <c r="N5" s="3">
        <f>G5/H5*100</f>
        <v/>
      </c>
      <c r="O5" s="4" t="inlineStr">
        <is>
          <t>PASS</t>
        </is>
      </c>
    </row>
    <row r="6" ht="61.5" customHeight="1">
      <c r="A6" s="1" t="n">
        <v>5</v>
      </c>
      <c r="B6" s="1" t="n">
        <v>1.025</v>
      </c>
      <c r="C6" s="1" t="n">
        <v>1</v>
      </c>
      <c r="D6" s="1" t="inlineStr">
        <is>
          <t>PV (with BESS IDLE)</t>
        </is>
      </c>
      <c r="E6" s="1" t="inlineStr">
        <is>
          <t>Leading</t>
        </is>
      </c>
      <c r="F6" s="1" t="n">
        <v>1118.2</v>
      </c>
      <c r="G6" s="1" t="n">
        <v>1123.5</v>
      </c>
      <c r="H6" s="1" t="n">
        <v>2510.2</v>
      </c>
      <c r="I6" s="1" t="n">
        <v>3546.5</v>
      </c>
      <c r="J6" s="1" t="n">
        <v>0</v>
      </c>
      <c r="K6" s="1" t="n">
        <v>3938.5</v>
      </c>
      <c r="L6" s="1" t="n">
        <v>7649.9</v>
      </c>
      <c r="M6" s="3">
        <f>F6/H6*100</f>
        <v/>
      </c>
      <c r="N6" s="3">
        <f>G6/H6*100</f>
        <v/>
      </c>
      <c r="O6" s="4" t="inlineStr">
        <is>
          <t>PASS</t>
        </is>
      </c>
    </row>
    <row r="7" ht="61.5" customHeight="1">
      <c r="A7" s="1" t="n">
        <v>6</v>
      </c>
      <c r="B7" s="1" t="n">
        <v>1.025</v>
      </c>
      <c r="C7" s="1" t="n">
        <v>1</v>
      </c>
      <c r="D7" s="1" t="inlineStr">
        <is>
          <t>PV (with BESS IDLE)</t>
        </is>
      </c>
      <c r="E7" s="1" t="inlineStr">
        <is>
          <t>Lagging</t>
        </is>
      </c>
      <c r="F7" s="1" t="n">
        <v>1087.1</v>
      </c>
      <c r="G7" s="1" t="n">
        <v>1087.4</v>
      </c>
      <c r="H7" s="1" t="n">
        <v>2510.2</v>
      </c>
      <c r="I7" s="1" t="n">
        <v>3469.5</v>
      </c>
      <c r="J7" s="1" t="n">
        <v>0</v>
      </c>
      <c r="K7" s="1" t="n">
        <v>3938.5</v>
      </c>
      <c r="L7" s="1" t="n">
        <v>7649.9</v>
      </c>
      <c r="M7" s="3">
        <f>F7/H7*100</f>
        <v/>
      </c>
      <c r="N7" s="3">
        <f>G7/H7*100</f>
        <v/>
      </c>
      <c r="O7" s="4" t="inlineStr">
        <is>
          <t>PASS</t>
        </is>
      </c>
    </row>
    <row r="8" ht="61.5" customHeight="1">
      <c r="A8" s="1" t="n">
        <v>7</v>
      </c>
      <c r="B8" s="1" t="n">
        <v>0.975</v>
      </c>
      <c r="C8" s="1" t="n">
        <v>1</v>
      </c>
      <c r="D8" s="1" t="inlineStr">
        <is>
          <t>BESS discharging (with PV IDLE)</t>
        </is>
      </c>
      <c r="E8" s="1" t="inlineStr">
        <is>
          <t>Leading</t>
        </is>
      </c>
      <c r="F8" s="1" t="n">
        <v>1136.8</v>
      </c>
      <c r="G8" s="1" t="n">
        <v>1139.9</v>
      </c>
      <c r="H8" s="1" t="n">
        <v>2510.2</v>
      </c>
      <c r="I8" s="1" t="n">
        <v>0</v>
      </c>
      <c r="J8" s="1" t="n">
        <v>2561.5</v>
      </c>
      <c r="K8" s="1" t="n">
        <v>3938.5</v>
      </c>
      <c r="L8" s="1" t="n">
        <v>7649.9</v>
      </c>
      <c r="M8" s="3">
        <f>F8/H8*100</f>
        <v/>
      </c>
      <c r="N8" s="3">
        <f>G8/H8*100</f>
        <v/>
      </c>
      <c r="O8" s="4" t="inlineStr">
        <is>
          <t>PASS</t>
        </is>
      </c>
    </row>
    <row r="9" ht="61.5" customHeight="1">
      <c r="A9" s="1" t="n">
        <v>8</v>
      </c>
      <c r="B9" s="1" t="n">
        <v>0.975</v>
      </c>
      <c r="C9" s="1" t="n">
        <v>1</v>
      </c>
      <c r="D9" s="1" t="inlineStr">
        <is>
          <t>BESS discharging (with PV IDLE)</t>
        </is>
      </c>
      <c r="E9" s="1" t="inlineStr">
        <is>
          <t>Lagging</t>
        </is>
      </c>
      <c r="F9" s="1" t="n">
        <v>1091.1</v>
      </c>
      <c r="G9" s="1" t="n">
        <v>1091.7</v>
      </c>
      <c r="H9" s="1" t="n">
        <v>2510.2</v>
      </c>
      <c r="I9" s="1" t="n">
        <v>0</v>
      </c>
      <c r="J9" s="1" t="n">
        <v>2478.7</v>
      </c>
      <c r="K9" s="1" t="n">
        <v>3938.5</v>
      </c>
      <c r="L9" s="1" t="n">
        <v>7649.9</v>
      </c>
      <c r="M9" s="3">
        <f>F9/H9*100</f>
        <v/>
      </c>
      <c r="N9" s="3">
        <f>G9/H9*100</f>
        <v/>
      </c>
      <c r="O9" s="4" t="inlineStr">
        <is>
          <t>PASS</t>
        </is>
      </c>
    </row>
    <row r="10" ht="61.5" customHeight="1">
      <c r="A10" s="1" t="n">
        <v>9</v>
      </c>
      <c r="B10" s="1" t="n">
        <v>1</v>
      </c>
      <c r="C10" s="1" t="n">
        <v>1</v>
      </c>
      <c r="D10" s="1" t="inlineStr">
        <is>
          <t>BESS discharging (with PV IDLE)</t>
        </is>
      </c>
      <c r="E10" s="1" t="inlineStr">
        <is>
          <t>Leading</t>
        </is>
      </c>
      <c r="F10" s="1" t="n">
        <v>1136.4</v>
      </c>
      <c r="G10" s="1" t="n">
        <v>1139.5</v>
      </c>
      <c r="H10" s="1" t="n">
        <v>2510.2</v>
      </c>
      <c r="I10" s="1" t="n">
        <v>0</v>
      </c>
      <c r="J10" s="1" t="n">
        <v>2560.7</v>
      </c>
      <c r="K10" s="1" t="n">
        <v>3938.5</v>
      </c>
      <c r="L10" s="1" t="n">
        <v>7649.9</v>
      </c>
      <c r="M10" s="3">
        <f>F10/H10*100</f>
        <v/>
      </c>
      <c r="N10" s="3">
        <f>G10/H10*100</f>
        <v/>
      </c>
      <c r="O10" s="4" t="inlineStr">
        <is>
          <t>PASS</t>
        </is>
      </c>
    </row>
    <row r="11" ht="61.5" customHeight="1">
      <c r="A11" s="1" t="n">
        <v>10</v>
      </c>
      <c r="B11" s="1" t="n">
        <v>1</v>
      </c>
      <c r="C11" s="1" t="n">
        <v>1</v>
      </c>
      <c r="D11" s="1" t="inlineStr">
        <is>
          <t>BESS discharging (with PV IDLE)</t>
        </is>
      </c>
      <c r="E11" s="1" t="inlineStr">
        <is>
          <t>Lagging</t>
        </is>
      </c>
      <c r="F11" s="1" t="n">
        <v>1088.5</v>
      </c>
      <c r="G11" s="1" t="n">
        <v>1089.1</v>
      </c>
      <c r="H11" s="1" t="n">
        <v>2510.2</v>
      </c>
      <c r="I11" s="1" t="n">
        <v>0</v>
      </c>
      <c r="J11" s="1" t="n">
        <v>2473.4</v>
      </c>
      <c r="K11" s="1" t="n">
        <v>3938.5</v>
      </c>
      <c r="L11" s="1" t="n">
        <v>7649.9</v>
      </c>
      <c r="M11" s="3">
        <f>F11/H11*100</f>
        <v/>
      </c>
      <c r="N11" s="3">
        <f>G11/H11*100</f>
        <v/>
      </c>
      <c r="O11" s="4" t="inlineStr">
        <is>
          <t>PASS</t>
        </is>
      </c>
    </row>
    <row r="12" ht="61.5" customHeight="1">
      <c r="A12" s="1" t="n">
        <v>11</v>
      </c>
      <c r="B12" s="1" t="n">
        <v>1.025</v>
      </c>
      <c r="C12" s="1" t="n">
        <v>1</v>
      </c>
      <c r="D12" s="1" t="inlineStr">
        <is>
          <t>BESS discharging (with PV IDLE)</t>
        </is>
      </c>
      <c r="E12" s="1" t="inlineStr">
        <is>
          <t>Leading</t>
        </is>
      </c>
      <c r="F12" s="1" t="n">
        <v>1123.4</v>
      </c>
      <c r="G12" s="1" t="n">
        <v>1126.4</v>
      </c>
      <c r="H12" s="1" t="n">
        <v>2510.2</v>
      </c>
      <c r="I12" s="1" t="n">
        <v>0</v>
      </c>
      <c r="J12" s="1" t="n">
        <v>2530.8</v>
      </c>
      <c r="K12" s="1" t="n">
        <v>3938.5</v>
      </c>
      <c r="L12" s="1" t="n">
        <v>7649.9</v>
      </c>
      <c r="M12" s="3">
        <f>F12/H12*100</f>
        <v/>
      </c>
      <c r="N12" s="3">
        <f>G12/H12*100</f>
        <v/>
      </c>
      <c r="O12" s="4" t="inlineStr">
        <is>
          <t>PASS</t>
        </is>
      </c>
    </row>
    <row r="13" ht="61.5" customHeight="1">
      <c r="A13" s="1" t="n">
        <v>12</v>
      </c>
      <c r="B13" s="1" t="n">
        <v>1.025</v>
      </c>
      <c r="C13" s="1" t="n">
        <v>1</v>
      </c>
      <c r="D13" s="1" t="inlineStr">
        <is>
          <t>BESS discharging (with PV IDLE)</t>
        </is>
      </c>
      <c r="E13" s="1" t="inlineStr">
        <is>
          <t>Lagging</t>
        </is>
      </c>
      <c r="F13" s="1" t="n">
        <v>1087.6</v>
      </c>
      <c r="G13" s="1" t="n">
        <v>1088.2</v>
      </c>
      <c r="H13" s="1" t="n">
        <v>2510.2</v>
      </c>
      <c r="I13" s="1" t="n">
        <v>0</v>
      </c>
      <c r="J13" s="1" t="n">
        <v>2471.4</v>
      </c>
      <c r="K13" s="1" t="n">
        <v>3938.5</v>
      </c>
      <c r="L13" s="1" t="n">
        <v>7649.9</v>
      </c>
      <c r="M13" s="3">
        <f>F13/H13*100</f>
        <v/>
      </c>
      <c r="N13" s="3">
        <f>G13/H13*100</f>
        <v/>
      </c>
      <c r="O13" s="4" t="inlineStr">
        <is>
          <t>PASS</t>
        </is>
      </c>
    </row>
    <row r="14" ht="61.5" customHeight="1">
      <c r="A14" s="1" t="n">
        <v>13</v>
      </c>
      <c r="B14" s="1" t="n">
        <v>0.975</v>
      </c>
      <c r="C14" s="1" t="n">
        <v>1</v>
      </c>
      <c r="D14" s="1" t="inlineStr">
        <is>
          <t>BESS Charging (with PV IDLE)</t>
        </is>
      </c>
      <c r="E14" s="1" t="inlineStr">
        <is>
          <t>Leading</t>
        </is>
      </c>
      <c r="F14" s="1" t="n">
        <v>1138.5</v>
      </c>
      <c r="G14" s="1" t="n">
        <v>1138</v>
      </c>
      <c r="H14" s="1" t="n">
        <v>2510.2</v>
      </c>
      <c r="I14" s="1" t="n">
        <v>0</v>
      </c>
      <c r="J14" s="1" t="n">
        <v>2525.4</v>
      </c>
      <c r="K14" s="1" t="n">
        <v>3938.5</v>
      </c>
      <c r="L14" s="1" t="n">
        <v>7649.9</v>
      </c>
      <c r="M14" s="3">
        <f>F14/H14*100</f>
        <v/>
      </c>
      <c r="N14" s="3">
        <f>G14/H14*100</f>
        <v/>
      </c>
      <c r="O14" s="4" t="inlineStr">
        <is>
          <t>PASS</t>
        </is>
      </c>
    </row>
    <row r="15" ht="61.5" customHeight="1">
      <c r="A15" s="1" t="n">
        <v>14</v>
      </c>
      <c r="B15" s="1" t="n">
        <v>0.975</v>
      </c>
      <c r="C15" s="1" t="n">
        <v>1</v>
      </c>
      <c r="D15" s="1" t="inlineStr">
        <is>
          <t>BESS Charging (with PV IDLE)</t>
        </is>
      </c>
      <c r="E15" s="1" t="inlineStr">
        <is>
          <t>Lagging</t>
        </is>
      </c>
      <c r="F15" s="1" t="n">
        <v>1087.9</v>
      </c>
      <c r="G15" s="1" t="n">
        <v>1084.6</v>
      </c>
      <c r="H15" s="1" t="n">
        <v>2510.2</v>
      </c>
      <c r="I15" s="1" t="n">
        <v>0</v>
      </c>
      <c r="J15" s="1" t="n">
        <v>2430.4</v>
      </c>
      <c r="K15" s="1" t="n">
        <v>3938.5</v>
      </c>
      <c r="L15" s="1" t="n">
        <v>7649.9</v>
      </c>
      <c r="M15" s="3">
        <f>F15/H15*100</f>
        <v/>
      </c>
      <c r="N15" s="3">
        <f>G15/H15*100</f>
        <v/>
      </c>
      <c r="O15" s="4" t="inlineStr">
        <is>
          <t>PASS</t>
        </is>
      </c>
    </row>
    <row r="16" ht="61.5" customHeight="1">
      <c r="A16" s="1" t="n">
        <v>15</v>
      </c>
      <c r="B16" s="1" t="n">
        <v>1</v>
      </c>
      <c r="C16" s="1" t="n">
        <v>1</v>
      </c>
      <c r="D16" s="1" t="inlineStr">
        <is>
          <t>BESS Charging (with PV IDLE)</t>
        </is>
      </c>
      <c r="E16" s="1" t="inlineStr">
        <is>
          <t>Leading</t>
        </is>
      </c>
      <c r="F16" s="1" t="n">
        <v>1132.6</v>
      </c>
      <c r="G16" s="1" t="n">
        <v>1132.1</v>
      </c>
      <c r="H16" s="1" t="n">
        <v>2510.2</v>
      </c>
      <c r="I16" s="1" t="n">
        <v>0</v>
      </c>
      <c r="J16" s="1" t="n">
        <v>2512.1</v>
      </c>
      <c r="K16" s="1" t="n">
        <v>3938.5</v>
      </c>
      <c r="L16" s="1" t="n">
        <v>7649.9</v>
      </c>
      <c r="M16" s="3">
        <f>F16/H16*100</f>
        <v/>
      </c>
      <c r="N16" s="3">
        <f>G16/H16*100</f>
        <v/>
      </c>
      <c r="O16" s="4" t="inlineStr">
        <is>
          <t>PASS</t>
        </is>
      </c>
    </row>
    <row r="17" ht="61.5" customHeight="1">
      <c r="A17" s="1" t="n">
        <v>16</v>
      </c>
      <c r="B17" s="1" t="n">
        <v>1</v>
      </c>
      <c r="C17" s="1" t="n">
        <v>1</v>
      </c>
      <c r="D17" s="1" t="inlineStr">
        <is>
          <t>BESS Charging (with PV IDLE)</t>
        </is>
      </c>
      <c r="E17" s="1" t="inlineStr">
        <is>
          <t>Lagging</t>
        </is>
      </c>
      <c r="F17" s="1" t="n">
        <v>1090.8</v>
      </c>
      <c r="G17" s="1" t="n">
        <v>1087.4</v>
      </c>
      <c r="H17" s="1" t="n">
        <v>2510.2</v>
      </c>
      <c r="I17" s="1" t="n">
        <v>0</v>
      </c>
      <c r="J17" s="1" t="n">
        <v>2437.5</v>
      </c>
      <c r="K17" s="1" t="n">
        <v>3938.5</v>
      </c>
      <c r="L17" s="1" t="n">
        <v>7649.9</v>
      </c>
      <c r="M17" s="3">
        <f>F17/H17*100</f>
        <v/>
      </c>
      <c r="N17" s="3">
        <f>G17/H17*100</f>
        <v/>
      </c>
      <c r="O17" s="4" t="inlineStr">
        <is>
          <t>PASS</t>
        </is>
      </c>
    </row>
    <row r="18" ht="61.5" customHeight="1">
      <c r="A18" s="1" t="n">
        <v>17</v>
      </c>
      <c r="B18" s="1" t="n">
        <v>1.025</v>
      </c>
      <c r="C18" s="1" t="n">
        <v>1</v>
      </c>
      <c r="D18" s="1" t="inlineStr">
        <is>
          <t>BESS Charging (with PV IDLE)</t>
        </is>
      </c>
      <c r="E18" s="1" t="inlineStr">
        <is>
          <t>Leading</t>
        </is>
      </c>
      <c r="F18" s="1" t="n">
        <v>1142</v>
      </c>
      <c r="G18" s="1" t="n">
        <v>1148.8</v>
      </c>
      <c r="H18" s="1" t="n">
        <v>2510.2</v>
      </c>
      <c r="I18" s="1" t="n">
        <v>0</v>
      </c>
      <c r="J18" s="1" t="n">
        <v>2548.7</v>
      </c>
      <c r="K18" s="1" t="n">
        <v>3938.5</v>
      </c>
      <c r="L18" s="1" t="n">
        <v>7649.9</v>
      </c>
      <c r="M18" s="3">
        <f>F18/H18*100</f>
        <v/>
      </c>
      <c r="N18" s="3">
        <f>G18/H18*100</f>
        <v/>
      </c>
      <c r="O18" s="4" t="inlineStr">
        <is>
          <t>PASS</t>
        </is>
      </c>
    </row>
    <row r="19" ht="61.5" customHeight="1">
      <c r="A19" s="1" t="n">
        <v>18</v>
      </c>
      <c r="B19" s="1" t="n">
        <v>1.025</v>
      </c>
      <c r="C19" s="1" t="n">
        <v>1</v>
      </c>
      <c r="D19" s="1" t="inlineStr">
        <is>
          <t>BESS Charging (with PV IDLE)</t>
        </is>
      </c>
      <c r="E19" s="1" t="inlineStr">
        <is>
          <t>Lagging</t>
        </is>
      </c>
      <c r="F19" s="1" t="n">
        <v>1091.5</v>
      </c>
      <c r="G19" s="1" t="n">
        <v>1088.2</v>
      </c>
      <c r="H19" s="1" t="n">
        <v>2510.2</v>
      </c>
      <c r="I19" s="1" t="n">
        <v>0</v>
      </c>
      <c r="J19" s="1" t="n">
        <v>2439.3</v>
      </c>
      <c r="K19" s="1" t="n">
        <v>3938.5</v>
      </c>
      <c r="L19" s="1" t="n">
        <v>7649.9</v>
      </c>
      <c r="M19" s="3">
        <f>F19/H19*100</f>
        <v/>
      </c>
      <c r="N19" s="3">
        <f>G19/H19*100</f>
        <v/>
      </c>
      <c r="O19" s="4" t="inlineStr">
        <is>
          <t>PASS</t>
        </is>
      </c>
    </row>
    <row r="20" ht="61.5" customHeight="1">
      <c r="A20" s="1" t="n">
        <v>19</v>
      </c>
      <c r="B20" s="1" t="n">
        <v>0.975</v>
      </c>
      <c r="C20" s="1" t="n">
        <v>1</v>
      </c>
      <c r="D20" s="1" t="inlineStr">
        <is>
          <t>PV and BESS combined</t>
        </is>
      </c>
      <c r="E20" s="1" t="inlineStr">
        <is>
          <t>Leading</t>
        </is>
      </c>
      <c r="F20" s="1" t="n">
        <v>2318.9</v>
      </c>
      <c r="G20" s="1" t="n">
        <v>2324.1</v>
      </c>
      <c r="H20" s="1" t="n">
        <v>2510.2</v>
      </c>
      <c r="I20" s="1" t="n">
        <v>3574</v>
      </c>
      <c r="J20" s="1" t="n">
        <v>2692.8</v>
      </c>
      <c r="K20" s="1" t="n">
        <v>3938.5</v>
      </c>
      <c r="L20" s="1" t="n">
        <v>7649.9</v>
      </c>
      <c r="M20" s="3">
        <f>F20/H20*100</f>
        <v/>
      </c>
      <c r="N20" s="3">
        <f>G20/H20*100</f>
        <v/>
      </c>
      <c r="O20" s="4" t="inlineStr">
        <is>
          <t>PASS</t>
        </is>
      </c>
    </row>
    <row r="21" ht="61.5" customHeight="1">
      <c r="A21" s="1" t="n">
        <v>20</v>
      </c>
      <c r="B21" s="1" t="n">
        <v>0.975</v>
      </c>
      <c r="C21" s="1" t="n">
        <v>1</v>
      </c>
      <c r="D21" s="1" t="inlineStr">
        <is>
          <t>PV and BESS combined</t>
        </is>
      </c>
      <c r="E21" s="1" t="inlineStr">
        <is>
          <t>Lagging</t>
        </is>
      </c>
      <c r="F21" s="1" t="n">
        <v>2145.4</v>
      </c>
      <c r="G21" s="1" t="n">
        <v>2146.8</v>
      </c>
      <c r="H21" s="1" t="n">
        <v>2510.2</v>
      </c>
      <c r="I21" s="1" t="n">
        <v>3164.6</v>
      </c>
      <c r="J21" s="1" t="n">
        <v>2592.9</v>
      </c>
      <c r="K21" s="1" t="n">
        <v>3938.5</v>
      </c>
      <c r="L21" s="1" t="n">
        <v>7649.9</v>
      </c>
      <c r="M21" s="3">
        <f>F21/H21*100</f>
        <v/>
      </c>
      <c r="N21" s="3">
        <f>G21/H21*100</f>
        <v/>
      </c>
      <c r="O21" s="4" t="inlineStr">
        <is>
          <t>PASS</t>
        </is>
      </c>
    </row>
    <row r="22" ht="61.5" customHeight="1">
      <c r="A22" s="1" t="n">
        <v>21</v>
      </c>
      <c r="B22" s="1" t="n">
        <v>1</v>
      </c>
      <c r="C22" s="1" t="n">
        <v>1</v>
      </c>
      <c r="D22" s="1" t="inlineStr">
        <is>
          <t>PV and BESS combined</t>
        </is>
      </c>
      <c r="E22" s="1" t="inlineStr">
        <is>
          <t>Leading</t>
        </is>
      </c>
      <c r="F22" s="1" t="n">
        <v>2309.2</v>
      </c>
      <c r="G22" s="1" t="n">
        <v>2314.4</v>
      </c>
      <c r="H22" s="1" t="n">
        <v>2510.2</v>
      </c>
      <c r="I22" s="1" t="n">
        <v>3563</v>
      </c>
      <c r="J22" s="1" t="n">
        <v>2679.5</v>
      </c>
      <c r="K22" s="1" t="n">
        <v>3938.5</v>
      </c>
      <c r="L22" s="1" t="n">
        <v>7649.9</v>
      </c>
      <c r="M22" s="3">
        <f>F22/H22*100</f>
        <v/>
      </c>
      <c r="N22" s="3">
        <f>G22/H22*100</f>
        <v/>
      </c>
      <c r="O22" s="4" t="inlineStr">
        <is>
          <t>PASS</t>
        </is>
      </c>
    </row>
    <row r="23" ht="61.5" customHeight="1">
      <c r="A23" s="1" t="n">
        <v>22</v>
      </c>
      <c r="B23" s="1" t="n">
        <v>1</v>
      </c>
      <c r="C23" s="1" t="n">
        <v>1</v>
      </c>
      <c r="D23" s="1" t="inlineStr">
        <is>
          <t>PV and BESS combined</t>
        </is>
      </c>
      <c r="E23" s="1" t="inlineStr">
        <is>
          <t>Lagging</t>
        </is>
      </c>
      <c r="F23" s="1" t="n">
        <v>2145.4</v>
      </c>
      <c r="G23" s="1" t="n">
        <v>2146.8</v>
      </c>
      <c r="H23" s="1" t="n">
        <v>2510.2</v>
      </c>
      <c r="I23" s="1" t="n">
        <v>3162.2</v>
      </c>
      <c r="J23" s="1" t="n">
        <v>2594.4</v>
      </c>
      <c r="K23" s="1" t="n">
        <v>3938.5</v>
      </c>
      <c r="L23" s="1" t="n">
        <v>7649.9</v>
      </c>
      <c r="M23" s="3">
        <f>F23/H23*100</f>
        <v/>
      </c>
      <c r="N23" s="3">
        <f>G23/H23*100</f>
        <v/>
      </c>
      <c r="O23" s="4" t="inlineStr">
        <is>
          <t>PASS</t>
        </is>
      </c>
    </row>
    <row r="24" ht="61.5" customHeight="1">
      <c r="A24" s="1" t="n">
        <v>23</v>
      </c>
      <c r="B24" s="1" t="n">
        <v>1.025</v>
      </c>
      <c r="C24" s="1" t="n">
        <v>1</v>
      </c>
      <c r="D24" s="1" t="inlineStr">
        <is>
          <t>PV and BESS combined</t>
        </is>
      </c>
      <c r="E24" s="1" t="inlineStr">
        <is>
          <t>Leading</t>
        </is>
      </c>
      <c r="F24" s="1" t="n">
        <v>2295.9</v>
      </c>
      <c r="G24" s="1" t="n">
        <v>2301.1</v>
      </c>
      <c r="H24" s="1" t="n">
        <v>2510.2</v>
      </c>
      <c r="I24" s="1" t="n">
        <v>3537.8</v>
      </c>
      <c r="J24" s="1" t="n">
        <v>2667.4</v>
      </c>
      <c r="K24" s="1" t="n">
        <v>3938.5</v>
      </c>
      <c r="L24" s="1" t="n">
        <v>7649.9</v>
      </c>
      <c r="M24" s="3">
        <f>F24/H24*100</f>
        <v/>
      </c>
      <c r="N24" s="3">
        <f>G24/H24*100</f>
        <v/>
      </c>
      <c r="O24" s="4" t="inlineStr">
        <is>
          <t>PASS</t>
        </is>
      </c>
    </row>
    <row r="25" ht="61.5" customHeight="1">
      <c r="A25" s="1" t="n">
        <v>24</v>
      </c>
      <c r="B25" s="1" t="n">
        <v>1.025</v>
      </c>
      <c r="C25" s="1" t="n">
        <v>1</v>
      </c>
      <c r="D25" s="1" t="inlineStr">
        <is>
          <t>PV and BESS combined</t>
        </is>
      </c>
      <c r="E25" s="1" t="inlineStr">
        <is>
          <t>Lagging</t>
        </is>
      </c>
      <c r="F25" s="1" t="n">
        <v>2141.7</v>
      </c>
      <c r="G25" s="1" t="n">
        <v>2143.1</v>
      </c>
      <c r="H25" s="1" t="n">
        <v>2510.2</v>
      </c>
      <c r="I25" s="1" t="n">
        <v>3157.3</v>
      </c>
      <c r="J25" s="1" t="n">
        <v>2589.3</v>
      </c>
      <c r="K25" s="1" t="n">
        <v>3938.5</v>
      </c>
      <c r="L25" s="1" t="n">
        <v>7649.9</v>
      </c>
      <c r="M25" s="3">
        <f>F25/H25*100</f>
        <v/>
      </c>
      <c r="N25" s="3">
        <f>G25/H25*100</f>
        <v/>
      </c>
      <c r="O25" s="4" t="inlineStr">
        <is>
          <t>PASS</t>
        </is>
      </c>
    </row>
    <row r="26" ht="61.5" customHeight="1">
      <c r="A26" s="1" t="n">
        <v>25</v>
      </c>
      <c r="B26" s="1" t="n">
        <v>0.975</v>
      </c>
      <c r="C26" s="1" t="n">
        <v>0</v>
      </c>
      <c r="D26" s="1" t="inlineStr">
        <is>
          <t>Night time (neutral)</t>
        </is>
      </c>
      <c r="E26" s="1" t="inlineStr">
        <is>
          <t>N/A</t>
        </is>
      </c>
      <c r="F26" s="1" t="n">
        <v>9.699999999999999</v>
      </c>
      <c r="G26" s="1" t="n">
        <v>7.8</v>
      </c>
      <c r="H26" s="1" t="n">
        <v>2510.2</v>
      </c>
      <c r="I26" s="1" t="n">
        <v>33.2</v>
      </c>
      <c r="J26" s="1" t="n">
        <v>12</v>
      </c>
      <c r="K26" s="1" t="n">
        <v>3938.5</v>
      </c>
      <c r="L26" s="1" t="n">
        <v>7649.9</v>
      </c>
      <c r="M26" s="3">
        <f>F26/H26*100</f>
        <v/>
      </c>
      <c r="N26" s="3">
        <f>G26/H26*100</f>
        <v/>
      </c>
      <c r="O26" s="4" t="inlineStr">
        <is>
          <t>PASS</t>
        </is>
      </c>
    </row>
    <row r="27" ht="61.5" customHeight="1">
      <c r="A27" s="1" t="n">
        <v>26</v>
      </c>
      <c r="B27" s="1" t="n">
        <v>1</v>
      </c>
      <c r="C27" s="1" t="n">
        <v>0</v>
      </c>
      <c r="D27" s="1" t="inlineStr">
        <is>
          <t>Night time (neutral)</t>
        </is>
      </c>
      <c r="E27" s="1" t="inlineStr">
        <is>
          <t>N/A</t>
        </is>
      </c>
      <c r="F27" s="1" t="n">
        <v>9.699999999999999</v>
      </c>
      <c r="G27" s="1" t="n">
        <v>7.9</v>
      </c>
      <c r="H27" s="1" t="n">
        <v>2510.2</v>
      </c>
      <c r="I27" s="1" t="n">
        <v>29.6</v>
      </c>
      <c r="J27" s="1" t="n">
        <v>14.4</v>
      </c>
      <c r="K27" s="1" t="n">
        <v>3938.5</v>
      </c>
      <c r="L27" s="1" t="n">
        <v>7649.9</v>
      </c>
      <c r="M27" s="3">
        <f>F27/H27*100</f>
        <v/>
      </c>
      <c r="N27" s="3">
        <f>G27/H27*100</f>
        <v/>
      </c>
      <c r="O27" s="4" t="inlineStr">
        <is>
          <t>PASS</t>
        </is>
      </c>
    </row>
    <row r="28" ht="61.5" customHeight="1">
      <c r="A28" s="1" t="n">
        <v>27</v>
      </c>
      <c r="B28" s="1" t="n">
        <v>1.025</v>
      </c>
      <c r="C28" s="1" t="n">
        <v>0</v>
      </c>
      <c r="D28" s="1" t="inlineStr">
        <is>
          <t>Night time (neutral)</t>
        </is>
      </c>
      <c r="E28" s="1" t="inlineStr">
        <is>
          <t>N/A</t>
        </is>
      </c>
      <c r="F28" s="1" t="n">
        <v>9.6</v>
      </c>
      <c r="G28" s="1" t="n">
        <v>7.8</v>
      </c>
      <c r="H28" s="1" t="n">
        <v>2510.2</v>
      </c>
      <c r="I28" s="1" t="n">
        <v>32.5</v>
      </c>
      <c r="J28" s="1" t="n">
        <v>12.1</v>
      </c>
      <c r="K28" s="1" t="n">
        <v>3938.5</v>
      </c>
      <c r="L28" s="1" t="n">
        <v>7649.9</v>
      </c>
      <c r="M28" s="3">
        <f>F28/H28*100</f>
        <v/>
      </c>
      <c r="N28" s="3">
        <f>G28/H28*100</f>
        <v/>
      </c>
      <c r="O28" s="4" t="inlineStr">
        <is>
          <t>PASS</t>
        </is>
      </c>
    </row>
    <row r="29" ht="61.5" customHeight="1">
      <c r="A29" s="1" t="n">
        <v>28</v>
      </c>
      <c r="B29" s="1" t="n">
        <v>0.975</v>
      </c>
      <c r="C29" s="1" t="n">
        <v>0</v>
      </c>
      <c r="D29" s="1" t="inlineStr">
        <is>
          <t>Native</t>
        </is>
      </c>
      <c r="E29" s="1" t="inlineStr">
        <is>
          <t>N/A</t>
        </is>
      </c>
      <c r="F29" s="1" t="n">
        <v>1053.8</v>
      </c>
      <c r="G29" s="1" t="n">
        <v>1056.4</v>
      </c>
      <c r="H29" s="1" t="n">
        <v>2510.2</v>
      </c>
      <c r="I29" s="1" t="n">
        <v>3360.5</v>
      </c>
      <c r="J29" s="1" t="n">
        <v>0</v>
      </c>
      <c r="K29" s="1" t="n">
        <v>3938.5</v>
      </c>
      <c r="L29" s="1" t="n">
        <v>7649.9</v>
      </c>
      <c r="M29" s="3">
        <f>F29/H29*100</f>
        <v/>
      </c>
      <c r="N29" s="3">
        <f>G29/H29*100</f>
        <v/>
      </c>
      <c r="O29" s="4" t="inlineStr">
        <is>
          <t>PASS</t>
        </is>
      </c>
    </row>
    <row r="30" ht="61.5" customHeight="1">
      <c r="A30" s="1" t="n">
        <v>29</v>
      </c>
      <c r="B30" s="1" t="n">
        <v>1</v>
      </c>
      <c r="C30" s="1" t="n">
        <v>0</v>
      </c>
      <c r="D30" s="1" t="inlineStr">
        <is>
          <t>Native</t>
        </is>
      </c>
      <c r="E30" s="1" t="inlineStr">
        <is>
          <t>N/A</t>
        </is>
      </c>
      <c r="F30" s="1" t="n">
        <v>1049.7</v>
      </c>
      <c r="G30" s="1" t="n">
        <v>1052.3</v>
      </c>
      <c r="H30" s="1" t="n">
        <v>2510.2</v>
      </c>
      <c r="I30" s="1" t="n">
        <v>3347.4</v>
      </c>
      <c r="J30" s="1" t="n">
        <v>0</v>
      </c>
      <c r="K30" s="1" t="n">
        <v>3938.5</v>
      </c>
      <c r="L30" s="1" t="n">
        <v>7649.9</v>
      </c>
      <c r="M30" s="3">
        <f>F30/H30*100</f>
        <v/>
      </c>
      <c r="N30" s="3">
        <f>G30/H30*100</f>
        <v/>
      </c>
      <c r="O30" s="4" t="inlineStr">
        <is>
          <t>PASS</t>
        </is>
      </c>
    </row>
    <row r="31" ht="61.5" customHeight="1">
      <c r="A31" s="1" t="n">
        <v>30</v>
      </c>
      <c r="B31" s="1" t="n">
        <v>1.025</v>
      </c>
      <c r="C31" s="1" t="n">
        <v>0</v>
      </c>
      <c r="D31" s="1" t="inlineStr">
        <is>
          <t>Native</t>
        </is>
      </c>
      <c r="E31" s="1" t="inlineStr">
        <is>
          <t>N/A</t>
        </is>
      </c>
      <c r="F31" s="1" t="n">
        <v>1049.8</v>
      </c>
      <c r="G31" s="1" t="n">
        <v>1052.5</v>
      </c>
      <c r="H31" s="1" t="n">
        <v>2510.2</v>
      </c>
      <c r="I31" s="1" t="n">
        <v>3347.7</v>
      </c>
      <c r="J31" s="1" t="n">
        <v>0</v>
      </c>
      <c r="K31" s="1" t="n">
        <v>3938.5</v>
      </c>
      <c r="L31" s="1" t="n">
        <v>7649.9</v>
      </c>
      <c r="M31" s="3">
        <f>F31/H31*100</f>
        <v/>
      </c>
      <c r="N31" s="3">
        <f>G31/H31*100</f>
        <v/>
      </c>
      <c r="O31" s="4" t="inlineStr">
        <is>
          <t>PASS</t>
        </is>
      </c>
    </row>
    <row r="32" ht="61.5" customHeight="1">
      <c r="A32" s="1" t="n">
        <v>31</v>
      </c>
      <c r="B32" s="1" t="n">
        <v>0.975</v>
      </c>
      <c r="C32" s="1" t="n">
        <v>0</v>
      </c>
      <c r="D32" s="1" t="inlineStr">
        <is>
          <t>Night time (injecting)</t>
        </is>
      </c>
      <c r="E32" s="1" t="inlineStr">
        <is>
          <t>N/A</t>
        </is>
      </c>
      <c r="F32" s="1" t="n"/>
      <c r="G32" s="1" t="n"/>
      <c r="H32" s="1" t="n">
        <v>2510.2</v>
      </c>
      <c r="I32" s="1" t="n"/>
      <c r="J32" s="1" t="n"/>
      <c r="K32" s="1" t="n">
        <v>3938.5</v>
      </c>
      <c r="L32" s="1" t="n">
        <v>7649.9</v>
      </c>
      <c r="M32" s="3">
        <f>F32/H32*100</f>
        <v/>
      </c>
      <c r="N32" s="3">
        <f>G32/H32*100</f>
        <v/>
      </c>
      <c r="O32" s="4" t="inlineStr">
        <is>
          <t>PASS</t>
        </is>
      </c>
    </row>
    <row r="33" ht="61.5" customHeight="1">
      <c r="A33" s="1" t="n">
        <v>32</v>
      </c>
      <c r="B33" s="1" t="n">
        <v>1</v>
      </c>
      <c r="C33" s="1" t="n">
        <v>0</v>
      </c>
      <c r="D33" s="1" t="inlineStr">
        <is>
          <t>Night time (injecting)</t>
        </is>
      </c>
      <c r="E33" s="1" t="inlineStr">
        <is>
          <t>N/A</t>
        </is>
      </c>
      <c r="F33" s="1" t="n"/>
      <c r="G33" s="1" t="n"/>
      <c r="H33" s="1" t="n">
        <v>2510.2</v>
      </c>
      <c r="I33" s="1" t="n"/>
      <c r="J33" s="1" t="n"/>
      <c r="K33" s="1" t="n">
        <v>3938.5</v>
      </c>
      <c r="L33" s="1" t="n">
        <v>7649.9</v>
      </c>
      <c r="M33" s="3">
        <f>F33/H33*100</f>
        <v/>
      </c>
      <c r="N33" s="3">
        <f>G33/H33*100</f>
        <v/>
      </c>
      <c r="O33" s="4" t="inlineStr">
        <is>
          <t>PASS</t>
        </is>
      </c>
    </row>
    <row r="34" ht="61.5" customHeight="1">
      <c r="A34" s="1" t="n">
        <v>33</v>
      </c>
      <c r="B34" s="1" t="n">
        <v>1.025</v>
      </c>
      <c r="C34" s="1" t="n">
        <v>0</v>
      </c>
      <c r="D34" s="1" t="inlineStr">
        <is>
          <t>Night time (injecting)</t>
        </is>
      </c>
      <c r="E34" s="1" t="inlineStr">
        <is>
          <t>N/A</t>
        </is>
      </c>
      <c r="F34" s="1" t="n"/>
      <c r="G34" s="1" t="n"/>
      <c r="H34" s="1" t="n">
        <v>2510.2</v>
      </c>
      <c r="I34" s="1" t="n"/>
      <c r="J34" s="1" t="n"/>
      <c r="K34" s="1" t="n">
        <v>3938.5</v>
      </c>
      <c r="L34" s="1" t="n">
        <v>7649.9</v>
      </c>
      <c r="M34" s="3">
        <f>F34/H34*100</f>
        <v/>
      </c>
      <c r="N34" s="3">
        <f>G34/H34*100</f>
        <v/>
      </c>
      <c r="O34" s="4" t="inlineStr">
        <is>
          <t>PASS</t>
        </is>
      </c>
    </row>
    <row r="35" ht="61.5" customHeight="1">
      <c r="A35" s="1" t="n">
        <v>34</v>
      </c>
      <c r="B35" s="1" t="n">
        <v>0.975</v>
      </c>
      <c r="C35" s="1" t="n">
        <v>0</v>
      </c>
      <c r="D35" s="1" t="inlineStr">
        <is>
          <t>Night time (absorbing)</t>
        </is>
      </c>
      <c r="E35" s="1" t="inlineStr">
        <is>
          <t>N/A</t>
        </is>
      </c>
      <c r="F35" s="1" t="n"/>
      <c r="G35" s="1" t="n"/>
      <c r="H35" s="1" t="n">
        <v>2510.2</v>
      </c>
      <c r="I35" s="1" t="n"/>
      <c r="J35" s="1" t="n"/>
      <c r="K35" s="1" t="n">
        <v>3938.5</v>
      </c>
      <c r="L35" s="1" t="n">
        <v>7649.9</v>
      </c>
      <c r="M35" s="3">
        <f>F35/H35*100</f>
        <v/>
      </c>
      <c r="N35" s="3">
        <f>G35/H35*100</f>
        <v/>
      </c>
      <c r="O35" s="4" t="inlineStr">
        <is>
          <t>PASS</t>
        </is>
      </c>
    </row>
    <row r="36" ht="61.5" customHeight="1">
      <c r="A36" s="1" t="n">
        <v>35</v>
      </c>
      <c r="B36" s="1" t="n">
        <v>1</v>
      </c>
      <c r="C36" s="1" t="n">
        <v>0</v>
      </c>
      <c r="D36" s="1" t="inlineStr">
        <is>
          <t>Night time (absorbing)</t>
        </is>
      </c>
      <c r="E36" s="1" t="inlineStr">
        <is>
          <t>N/A</t>
        </is>
      </c>
      <c r="F36" s="1" t="n"/>
      <c r="G36" s="1" t="n"/>
      <c r="H36" s="1" t="n">
        <v>2510.2</v>
      </c>
      <c r="I36" s="1" t="n"/>
      <c r="J36" s="1" t="n"/>
      <c r="K36" s="1" t="n">
        <v>3938.5</v>
      </c>
      <c r="L36" s="1" t="n">
        <v>7649.9</v>
      </c>
      <c r="M36" s="3">
        <f>F36/H36*100</f>
        <v/>
      </c>
      <c r="N36" s="3">
        <f>G36/H36*100</f>
        <v/>
      </c>
      <c r="O36" s="4" t="inlineStr">
        <is>
          <t>PASS</t>
        </is>
      </c>
    </row>
    <row r="37" ht="61.5" customHeight="1">
      <c r="A37" s="1" t="n">
        <v>36</v>
      </c>
      <c r="B37" s="1" t="n">
        <v>1.025</v>
      </c>
      <c r="C37" s="1" t="n">
        <v>0</v>
      </c>
      <c r="D37" s="1" t="inlineStr">
        <is>
          <t>Night time (absorbing)</t>
        </is>
      </c>
      <c r="E37" s="1" t="inlineStr">
        <is>
          <t>N/A</t>
        </is>
      </c>
      <c r="F37" s="1" t="n"/>
      <c r="G37" s="1" t="n"/>
      <c r="H37" s="1" t="n">
        <v>2510.2</v>
      </c>
      <c r="I37" s="1" t="n"/>
      <c r="J37" s="1" t="n"/>
      <c r="K37" s="1" t="n">
        <v>3938.5</v>
      </c>
      <c r="L37" s="1" t="n">
        <v>7649.9</v>
      </c>
      <c r="M37" s="3">
        <f>F37/H37*100</f>
        <v/>
      </c>
      <c r="N37" s="3">
        <f>G37/H37*100</f>
        <v/>
      </c>
      <c r="O37" s="4" t="inlineStr">
        <is>
          <t>PASS</t>
        </is>
      </c>
    </row>
    <row r="38" ht="61.5" customHeight="1">
      <c r="A38" s="1" t="n">
        <v>37</v>
      </c>
      <c r="B38" s="1" t="n">
        <v>1.025</v>
      </c>
      <c r="C38" s="1" t="n">
        <v>0</v>
      </c>
      <c r="D38" s="1" t="inlineStr">
        <is>
          <t>LF 0</t>
        </is>
      </c>
      <c r="E38" s="1" t="inlineStr">
        <is>
          <t>N/A</t>
        </is>
      </c>
      <c r="F38" s="1" t="n"/>
      <c r="G38" s="1" t="n"/>
      <c r="H38" s="1" t="n">
        <v>2510.2</v>
      </c>
      <c r="I38" s="1" t="n"/>
      <c r="J38" s="1" t="n"/>
      <c r="K38" s="1" t="n">
        <v>3938.5</v>
      </c>
      <c r="L38" s="1" t="n">
        <v>7649.9</v>
      </c>
      <c r="M38" s="3">
        <f>F38/H38*100</f>
        <v/>
      </c>
      <c r="N38" s="3">
        <f>G38/H38*100</f>
        <v/>
      </c>
      <c r="O38" s="4" t="inlineStr">
        <is>
          <t>PASS</t>
        </is>
      </c>
    </row>
    <row r="39" ht="61.5" customHeight="1">
      <c r="A39" s="1" t="n">
        <v>38</v>
      </c>
      <c r="B39" s="1" t="n">
        <v>0.975</v>
      </c>
      <c r="C39" s="1" t="n">
        <v>0</v>
      </c>
      <c r="D39" s="1" t="inlineStr">
        <is>
          <t>LF 25</t>
        </is>
      </c>
      <c r="E39" s="1" t="inlineStr">
        <is>
          <t>N/A</t>
        </is>
      </c>
      <c r="F39" s="1" t="n"/>
      <c r="G39" s="1" t="n"/>
      <c r="H39" s="1" t="n">
        <v>2510.2</v>
      </c>
      <c r="I39" s="1" t="n"/>
      <c r="J39" s="1" t="n"/>
      <c r="K39" s="1" t="n">
        <v>3938.5</v>
      </c>
      <c r="L39" s="1" t="n">
        <v>7649.9</v>
      </c>
      <c r="M39" s="3">
        <f>F39/H39*100</f>
        <v/>
      </c>
      <c r="N39" s="3">
        <f>G39/H39*100</f>
        <v/>
      </c>
      <c r="O39" s="4" t="inlineStr">
        <is>
          <t>PASS</t>
        </is>
      </c>
    </row>
    <row r="40" ht="61.5" customHeight="1">
      <c r="A40" s="1" t="n">
        <v>39</v>
      </c>
      <c r="B40" s="1" t="n">
        <v>1</v>
      </c>
      <c r="C40" s="1" t="n">
        <v>0</v>
      </c>
      <c r="D40" s="1" t="inlineStr">
        <is>
          <t>LF 50</t>
        </is>
      </c>
      <c r="E40" s="1" t="inlineStr">
        <is>
          <t>N/A</t>
        </is>
      </c>
      <c r="F40" s="1" t="n"/>
      <c r="G40" s="1" t="n"/>
      <c r="H40" s="1" t="n">
        <v>2510.2</v>
      </c>
      <c r="I40" s="1" t="n"/>
      <c r="J40" s="1" t="n"/>
      <c r="K40" s="1" t="n">
        <v>3938.5</v>
      </c>
      <c r="L40" s="1" t="n">
        <v>7649.9</v>
      </c>
      <c r="M40" s="3">
        <f>F40/H40*100</f>
        <v/>
      </c>
      <c r="N40" s="3">
        <f>G40/H40*100</f>
        <v/>
      </c>
      <c r="O40" s="4" t="inlineStr">
        <is>
          <t>PASS</t>
        </is>
      </c>
    </row>
    <row r="41" ht="61.5" customHeight="1">
      <c r="A41" s="1" t="n">
        <v>40</v>
      </c>
      <c r="B41" s="1" t="n">
        <v>1.025</v>
      </c>
      <c r="C41" s="1" t="n">
        <v>0</v>
      </c>
      <c r="D41" s="1" t="inlineStr">
        <is>
          <t>LF 75</t>
        </is>
      </c>
      <c r="E41" s="1" t="inlineStr">
        <is>
          <t>N/A</t>
        </is>
      </c>
      <c r="F41" s="1" t="n"/>
      <c r="G41" s="1" t="n"/>
      <c r="H41" s="1" t="n">
        <v>2510.2</v>
      </c>
      <c r="I41" s="1" t="n"/>
      <c r="J41" s="1" t="n"/>
      <c r="K41" s="1" t="n">
        <v>3938.5</v>
      </c>
      <c r="L41" s="1" t="n">
        <v>7649.9</v>
      </c>
      <c r="M41" s="3">
        <f>F41/H41*100</f>
        <v/>
      </c>
      <c r="N41" s="3">
        <f>G41/H41*100</f>
        <v/>
      </c>
      <c r="O41" s="4" t="inlineStr">
        <is>
          <t>PASS</t>
        </is>
      </c>
    </row>
  </sheetData>
  <pageMargins left="0.25" right="0.25" top="0.75" bottom="0.75" header="0.3" footer="0.3"/>
  <pageSetup orientation="landscape" scale="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2026-04-23T18:13:58Z</dcterms:created>
  <dcterms:modified xmlns:dcterms="http://purl.org/dc/terms/" xmlns:xsi="http://www.w3.org/2001/XMLSchema-instance" xsi:type="dcterms:W3CDTF">2026-07-08T14:29:25Z</dcterms:modified>
  <cp:lastModifiedBy>Mushfique Nabi</cp:lastModifiedBy>
  <cp:lastPrinted>2026-04-23T22:21:19Z</cp:lastPrinted>
</cp:coreProperties>
</file>