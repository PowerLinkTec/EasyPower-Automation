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sdfg\OneDrive\Documents\Personal\LF Script Biglow V2\"/>
    </mc:Choice>
  </mc:AlternateContent>
  <xr:revisionPtr revIDLastSave="0" documentId="13_ncr:1_{A6F25E75-AE06-4326-AC5B-6E69BA3E4C1D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Scenario summary" sheetId="1" r:id="rId1"/>
    <sheet name="Scenario 100%_Power" sheetId="2" r:id="rId2"/>
    <sheet name="Scenario_100_inv_voltages" sheetId="3" r:id="rId3"/>
    <sheet name="Scenario_100_Branch_loadi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1" i="4" l="1"/>
  <c r="M41" i="4"/>
  <c r="N40" i="4"/>
  <c r="M40" i="4"/>
  <c r="N39" i="4"/>
  <c r="M39" i="4"/>
  <c r="N38" i="4"/>
  <c r="M38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N2" i="4"/>
  <c r="M2" i="4"/>
  <c r="O31" i="2"/>
  <c r="O3" i="2"/>
  <c r="O4" i="2"/>
  <c r="O5" i="2"/>
  <c r="O6" i="2"/>
  <c r="O7" i="2"/>
  <c r="O20" i="2"/>
  <c r="O21" i="2"/>
  <c r="O22" i="2"/>
  <c r="O23" i="2"/>
  <c r="O24" i="2"/>
  <c r="O25" i="2"/>
  <c r="O29" i="2"/>
  <c r="O30" i="2"/>
  <c r="O2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</calcChain>
</file>

<file path=xl/sharedStrings.xml><?xml version="1.0" encoding="utf-8"?>
<sst xmlns="http://schemas.openxmlformats.org/spreadsheetml/2006/main" count="522" uniqueCount="61">
  <si>
    <t>Scenarios</t>
  </si>
  <si>
    <t>Unnamed: 1</t>
  </si>
  <si>
    <t>Unnamed: 2</t>
  </si>
  <si>
    <t>Unnamed: 3</t>
  </si>
  <si>
    <t>Voltage</t>
  </si>
  <si>
    <t>Generation level</t>
  </si>
  <si>
    <t>Scenario</t>
  </si>
  <si>
    <t>Reactive Test</t>
  </si>
  <si>
    <t>0.95 PU</t>
  </si>
  <si>
    <t>PV generation (With BESS Q support)</t>
  </si>
  <si>
    <t>Leading</t>
  </si>
  <si>
    <t>Lagging</t>
  </si>
  <si>
    <t>1.00 PU</t>
  </si>
  <si>
    <t>PV only  (With BESS Q support)</t>
  </si>
  <si>
    <t>1.05 PU</t>
  </si>
  <si>
    <t>BESS Discharging  (With PV Q support)</t>
  </si>
  <si>
    <t>BESS Discharging (With PV Q support)</t>
  </si>
  <si>
    <t>BESS Charging (With PV Q support)</t>
  </si>
  <si>
    <t>Nighttime</t>
  </si>
  <si>
    <t>Configuration</t>
  </si>
  <si>
    <t>Target real power (kW)</t>
  </si>
  <si>
    <t>Simulation results - Real power at POI (kW)</t>
  </si>
  <si>
    <t>Target reactive power (kVAR)</t>
  </si>
  <si>
    <t>Gross Active Power Supplied Per PV Skid (kW)</t>
  </si>
  <si>
    <t>Gross Active Power Supplied Per BESS Skid (kW)</t>
  </si>
  <si>
    <t>Gross Reactive Power Supplied Per PV Skid (kVAR)</t>
  </si>
  <si>
    <t>Gross Reactive Power Supplied Per BESS Skid (kVAR)</t>
  </si>
  <si>
    <t>Simulation results - Power Factor at POI</t>
  </si>
  <si>
    <t>PASS/FAIL</t>
  </si>
  <si>
    <t>PASS</t>
  </si>
  <si>
    <t>PV and BESS combined</t>
  </si>
  <si>
    <t>Highest Inverter LV Voltage (%)</t>
  </si>
  <si>
    <t>Lowest Inverter LV Voltage (%)</t>
  </si>
  <si>
    <t>Highest Collector System MV Voltage (%)</t>
  </si>
  <si>
    <t>Lowest Collector System MV Voltage (%)</t>
  </si>
  <si>
    <t>MPT1 HS OLTC Tap(%)</t>
  </si>
  <si>
    <t>Current through MPT1 (A)</t>
  </si>
  <si>
    <t>Current through MPT2 (A)</t>
  </si>
  <si>
    <t>Max allowed current through MPT (A)</t>
  </si>
  <si>
    <t>Max ISU PV current (A)</t>
  </si>
  <si>
    <t>Max ISU BESS current (A)</t>
  </si>
  <si>
    <t>Max allowed current through ISU PV (A)</t>
  </si>
  <si>
    <t>Max allowed current through ISU BESS (A)</t>
  </si>
  <si>
    <t>PV (with BESS IDLE)</t>
  </si>
  <si>
    <t>BESS discharging (with PV IDLE)</t>
  </si>
  <si>
    <t>BESS Charging (with PV IDLE)</t>
  </si>
  <si>
    <t>Native</t>
  </si>
  <si>
    <t>N/A</t>
  </si>
  <si>
    <t>BESS INV PF</t>
  </si>
  <si>
    <t>PV INV PF</t>
  </si>
  <si>
    <t>-</t>
  </si>
  <si>
    <t>Night time (injecting)</t>
  </si>
  <si>
    <t>Night time (absorbing)</t>
  </si>
  <si>
    <t>Night time (neutral)</t>
  </si>
  <si>
    <t>Simulation results - Reactive power at POI (kVAR)</t>
  </si>
  <si>
    <t>MPT1 % loading</t>
  </si>
  <si>
    <t>MPT2 % loading</t>
  </si>
  <si>
    <t>LF 0</t>
  </si>
  <si>
    <t>LF 25</t>
  </si>
  <si>
    <t>LF 50</t>
  </si>
  <si>
    <t>LF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</si>
</sst>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5"/>
  <sheetViews>
    <sheetView topLeftCell="A56" workbookViewId="0">
      <selection activeCell="G53" sqref="G53"/>
    </sheetView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 t="s">
        <v>6</v>
      </c>
      <c r="D2" t="s">
        <v>7</v>
      </c>
    </row>
    <row r="3" spans="1:4" x14ac:dyDescent="0.35">
      <c r="A3" t="s">
        <v>8</v>
      </c>
      <c r="B3">
        <v>0</v>
      </c>
      <c r="C3" t="s">
        <v>9</v>
      </c>
      <c r="D3" t="s">
        <v>10</v>
      </c>
    </row>
    <row r="4" spans="1:4" x14ac:dyDescent="0.35">
      <c r="B4">
        <v>0.25</v>
      </c>
    </row>
    <row r="5" spans="1:4" x14ac:dyDescent="0.35">
      <c r="B5">
        <v>0.5</v>
      </c>
    </row>
    <row r="6" spans="1:4" x14ac:dyDescent="0.35">
      <c r="B6">
        <v>0.75</v>
      </c>
      <c r="D6" t="s">
        <v>11</v>
      </c>
    </row>
    <row r="7" spans="1:4" x14ac:dyDescent="0.35">
      <c r="B7">
        <v>1</v>
      </c>
    </row>
    <row r="8" spans="1:4" x14ac:dyDescent="0.35">
      <c r="A8" t="s">
        <v>12</v>
      </c>
      <c r="B8">
        <v>0</v>
      </c>
      <c r="C8" t="s">
        <v>13</v>
      </c>
      <c r="D8" t="s">
        <v>10</v>
      </c>
    </row>
    <row r="9" spans="1:4" x14ac:dyDescent="0.35">
      <c r="B9">
        <v>0.25</v>
      </c>
    </row>
    <row r="10" spans="1:4" x14ac:dyDescent="0.35">
      <c r="B10">
        <v>0.5</v>
      </c>
    </row>
    <row r="11" spans="1:4" x14ac:dyDescent="0.35">
      <c r="B11">
        <v>0.75</v>
      </c>
      <c r="D11" t="s">
        <v>11</v>
      </c>
    </row>
    <row r="12" spans="1:4" x14ac:dyDescent="0.35">
      <c r="B12">
        <v>1</v>
      </c>
    </row>
    <row r="13" spans="1:4" x14ac:dyDescent="0.35">
      <c r="A13" t="s">
        <v>14</v>
      </c>
      <c r="B13">
        <v>0</v>
      </c>
      <c r="C13" t="s">
        <v>13</v>
      </c>
      <c r="D13" t="s">
        <v>10</v>
      </c>
    </row>
    <row r="14" spans="1:4" x14ac:dyDescent="0.35">
      <c r="B14">
        <v>0.25</v>
      </c>
    </row>
    <row r="15" spans="1:4" x14ac:dyDescent="0.35">
      <c r="B15">
        <v>0.5</v>
      </c>
    </row>
    <row r="16" spans="1:4" x14ac:dyDescent="0.35">
      <c r="B16">
        <v>0.75</v>
      </c>
      <c r="D16" t="s">
        <v>11</v>
      </c>
    </row>
    <row r="17" spans="1:4" x14ac:dyDescent="0.35">
      <c r="B17">
        <v>1</v>
      </c>
    </row>
    <row r="19" spans="1:4" x14ac:dyDescent="0.35">
      <c r="A19" t="s">
        <v>8</v>
      </c>
      <c r="B19">
        <v>0</v>
      </c>
      <c r="C19" t="s">
        <v>15</v>
      </c>
      <c r="D19" t="s">
        <v>10</v>
      </c>
    </row>
    <row r="20" spans="1:4" x14ac:dyDescent="0.35">
      <c r="B20">
        <v>0.25</v>
      </c>
    </row>
    <row r="21" spans="1:4" x14ac:dyDescent="0.35">
      <c r="B21">
        <v>0.5</v>
      </c>
    </row>
    <row r="22" spans="1:4" x14ac:dyDescent="0.35">
      <c r="B22">
        <v>0.75</v>
      </c>
      <c r="D22" t="s">
        <v>11</v>
      </c>
    </row>
    <row r="23" spans="1:4" x14ac:dyDescent="0.35">
      <c r="B23">
        <v>1</v>
      </c>
    </row>
    <row r="24" spans="1:4" x14ac:dyDescent="0.35">
      <c r="A24" t="s">
        <v>12</v>
      </c>
      <c r="B24">
        <v>0</v>
      </c>
      <c r="C24" t="s">
        <v>16</v>
      </c>
      <c r="D24" t="s">
        <v>10</v>
      </c>
    </row>
    <row r="25" spans="1:4" x14ac:dyDescent="0.35">
      <c r="B25">
        <v>0.25</v>
      </c>
    </row>
    <row r="26" spans="1:4" x14ac:dyDescent="0.35">
      <c r="B26">
        <v>0.5</v>
      </c>
    </row>
    <row r="27" spans="1:4" x14ac:dyDescent="0.35">
      <c r="B27">
        <v>0.75</v>
      </c>
      <c r="D27" t="s">
        <v>11</v>
      </c>
    </row>
    <row r="28" spans="1:4" x14ac:dyDescent="0.35">
      <c r="B28">
        <v>1</v>
      </c>
    </row>
    <row r="29" spans="1:4" x14ac:dyDescent="0.35">
      <c r="A29" t="s">
        <v>14</v>
      </c>
      <c r="B29">
        <v>0</v>
      </c>
      <c r="C29" t="s">
        <v>16</v>
      </c>
      <c r="D29" t="s">
        <v>10</v>
      </c>
    </row>
    <row r="30" spans="1:4" x14ac:dyDescent="0.35">
      <c r="B30">
        <v>0.25</v>
      </c>
    </row>
    <row r="31" spans="1:4" x14ac:dyDescent="0.35">
      <c r="B31">
        <v>0.5</v>
      </c>
    </row>
    <row r="32" spans="1:4" x14ac:dyDescent="0.35">
      <c r="B32">
        <v>0.75</v>
      </c>
      <c r="D32" t="s">
        <v>11</v>
      </c>
    </row>
    <row r="33" spans="1:4" x14ac:dyDescent="0.35">
      <c r="B33">
        <v>1</v>
      </c>
    </row>
    <row r="35" spans="1:4" x14ac:dyDescent="0.35">
      <c r="A35" t="s">
        <v>8</v>
      </c>
      <c r="B35">
        <v>0</v>
      </c>
      <c r="C35" t="s">
        <v>17</v>
      </c>
      <c r="D35" t="s">
        <v>10</v>
      </c>
    </row>
    <row r="36" spans="1:4" x14ac:dyDescent="0.35">
      <c r="B36">
        <v>0.25</v>
      </c>
    </row>
    <row r="37" spans="1:4" x14ac:dyDescent="0.35">
      <c r="B37">
        <v>0.5</v>
      </c>
    </row>
    <row r="38" spans="1:4" x14ac:dyDescent="0.35">
      <c r="B38">
        <v>0.75</v>
      </c>
      <c r="D38" t="s">
        <v>11</v>
      </c>
    </row>
    <row r="39" spans="1:4" x14ac:dyDescent="0.35">
      <c r="B39">
        <v>1</v>
      </c>
    </row>
    <row r="40" spans="1:4" x14ac:dyDescent="0.35">
      <c r="A40" t="s">
        <v>12</v>
      </c>
      <c r="B40">
        <v>0</v>
      </c>
      <c r="C40" t="s">
        <v>17</v>
      </c>
      <c r="D40" t="s">
        <v>10</v>
      </c>
    </row>
    <row r="41" spans="1:4" x14ac:dyDescent="0.35">
      <c r="B41">
        <v>0.25</v>
      </c>
    </row>
    <row r="42" spans="1:4" x14ac:dyDescent="0.35">
      <c r="B42">
        <v>0.5</v>
      </c>
    </row>
    <row r="43" spans="1:4" x14ac:dyDescent="0.35">
      <c r="B43">
        <v>0.75</v>
      </c>
      <c r="D43" t="s">
        <v>11</v>
      </c>
    </row>
    <row r="44" spans="1:4" x14ac:dyDescent="0.35">
      <c r="B44">
        <v>1</v>
      </c>
    </row>
    <row r="45" spans="1:4" x14ac:dyDescent="0.35">
      <c r="A45" t="s">
        <v>14</v>
      </c>
      <c r="B45">
        <v>0</v>
      </c>
      <c r="C45" t="s">
        <v>17</v>
      </c>
      <c r="D45" t="s">
        <v>10</v>
      </c>
    </row>
    <row r="46" spans="1:4" x14ac:dyDescent="0.35">
      <c r="B46">
        <v>0.25</v>
      </c>
    </row>
    <row r="47" spans="1:4" x14ac:dyDescent="0.35">
      <c r="B47">
        <v>0.5</v>
      </c>
    </row>
    <row r="48" spans="1:4" x14ac:dyDescent="0.35">
      <c r="B48">
        <v>0.75</v>
      </c>
      <c r="D48" t="s">
        <v>11</v>
      </c>
    </row>
    <row r="49" spans="1:4" x14ac:dyDescent="0.35">
      <c r="B49">
        <v>1</v>
      </c>
    </row>
    <row r="51" spans="1:4" x14ac:dyDescent="0.35">
      <c r="A51" t="s">
        <v>8</v>
      </c>
      <c r="B51">
        <v>0</v>
      </c>
      <c r="C51" t="s">
        <v>18</v>
      </c>
      <c r="D51" t="s">
        <v>10</v>
      </c>
    </row>
    <row r="52" spans="1:4" x14ac:dyDescent="0.35">
      <c r="B52">
        <v>0.25</v>
      </c>
    </row>
    <row r="53" spans="1:4" x14ac:dyDescent="0.35">
      <c r="B53">
        <v>0.5</v>
      </c>
    </row>
    <row r="54" spans="1:4" x14ac:dyDescent="0.35">
      <c r="B54">
        <v>0.75</v>
      </c>
      <c r="D54" t="s">
        <v>11</v>
      </c>
    </row>
    <row r="55" spans="1:4" x14ac:dyDescent="0.35">
      <c r="B55">
        <v>1</v>
      </c>
    </row>
    <row r="56" spans="1:4" x14ac:dyDescent="0.35">
      <c r="A56" t="s">
        <v>12</v>
      </c>
      <c r="B56">
        <v>0</v>
      </c>
      <c r="C56" t="s">
        <v>18</v>
      </c>
      <c r="D56" t="s">
        <v>10</v>
      </c>
    </row>
    <row r="57" spans="1:4" x14ac:dyDescent="0.35">
      <c r="B57">
        <v>0.25</v>
      </c>
    </row>
    <row r="58" spans="1:4" x14ac:dyDescent="0.35">
      <c r="B58">
        <v>0.5</v>
      </c>
    </row>
    <row r="59" spans="1:4" x14ac:dyDescent="0.35">
      <c r="B59">
        <v>0.75</v>
      </c>
      <c r="D59" t="s">
        <v>11</v>
      </c>
    </row>
    <row r="60" spans="1:4" x14ac:dyDescent="0.35">
      <c r="B60">
        <v>1</v>
      </c>
    </row>
    <row r="61" spans="1:4" x14ac:dyDescent="0.35">
      <c r="A61" t="s">
        <v>14</v>
      </c>
      <c r="B61">
        <v>0</v>
      </c>
      <c r="C61" t="s">
        <v>18</v>
      </c>
      <c r="D61" t="s">
        <v>10</v>
      </c>
    </row>
    <row r="62" spans="1:4" x14ac:dyDescent="0.35">
      <c r="B62">
        <v>0.25</v>
      </c>
    </row>
    <row r="63" spans="1:4" x14ac:dyDescent="0.35">
      <c r="B63">
        <v>0.5</v>
      </c>
    </row>
    <row r="64" spans="1:4" x14ac:dyDescent="0.35">
      <c r="B64">
        <v>0.75</v>
      </c>
      <c r="D64" t="s">
        <v>11</v>
      </c>
    </row>
    <row r="65" spans="2:2" x14ac:dyDescent="0.35">
      <c r="B65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41"/>
  <sheetViews>
    <sheetView topLeftCell="A13" zoomScale="25" zoomScaleNormal="25" workbookViewId="0">
      <selection activeCell="D38" sqref="D38:D41"/>
    </sheetView>
  </sheetViews>
  <sheetFormatPr defaultColWidth="27.6328125" defaultRowHeight="14.5" x14ac:dyDescent="0.35"/>
  <cols>
    <col min="1" max="1" width="43.81640625" customWidth="1"/>
    <col min="2" max="2" width="40" customWidth="1"/>
    <col min="3" max="3" width="52.90625" customWidth="1"/>
    <col min="4" max="4" width="116.08984375" customWidth="1"/>
    <col min="5" max="5" width="43.1796875" customWidth="1"/>
    <col min="6" max="6" width="32.453125" bestFit="1" customWidth="1"/>
    <col min="7" max="7" width="48.6328125" customWidth="1"/>
    <col min="8" max="8" width="38.54296875" customWidth="1"/>
    <col min="9" max="9" width="54.08984375" customWidth="1"/>
    <col min="10" max="10" width="47.81640625" customWidth="1"/>
    <col min="11" max="11" width="48.08984375" customWidth="1"/>
    <col min="12" max="12" width="54.08984375" customWidth="1"/>
    <col min="13" max="15" width="49.1796875" customWidth="1"/>
    <col min="16" max="16" width="50.1796875" customWidth="1"/>
    <col min="17" max="17" width="49.54296875" customWidth="1"/>
  </cols>
  <sheetData>
    <row r="1" spans="1:17" ht="369" x14ac:dyDescent="0.35">
      <c r="A1" s="5" t="s">
        <v>6</v>
      </c>
      <c r="B1" s="5" t="s">
        <v>4</v>
      </c>
      <c r="C1" s="5" t="s">
        <v>5</v>
      </c>
      <c r="D1" s="5" t="s">
        <v>19</v>
      </c>
      <c r="E1" s="5" t="s">
        <v>7</v>
      </c>
      <c r="F1" s="5" t="s">
        <v>20</v>
      </c>
      <c r="G1" s="5" t="s">
        <v>21</v>
      </c>
      <c r="H1" s="5" t="s">
        <v>22</v>
      </c>
      <c r="I1" s="5" t="s">
        <v>54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48</v>
      </c>
      <c r="O1" s="5" t="s">
        <v>49</v>
      </c>
      <c r="P1" s="5" t="s">
        <v>27</v>
      </c>
      <c r="Q1" s="5" t="s">
        <v>28</v>
      </c>
    </row>
    <row r="2" spans="1:17" ht="61.5" x14ac:dyDescent="0.35">
      <c r="A2" s="1">
        <v>1</v>
      </c>
      <c r="B2" s="1">
        <v>0.97499999999999998</v>
      </c>
      <c r="C2" s="1">
        <v>1</v>
      </c>
      <c r="D2" s="1" t="s">
        <v>43</v>
      </c>
      <c r="E2" s="1" t="s">
        <v>10</v>
      </c>
      <c r="F2" s="1">
        <v>125000</v>
      </c>
      <c r="G2" s="2">
        <v>125340.38400000001</v>
      </c>
      <c r="H2" s="1">
        <v>-41100</v>
      </c>
      <c r="I2" s="2">
        <v>42831.273999999998</v>
      </c>
      <c r="J2" s="2">
        <v>3780</v>
      </c>
      <c r="K2" s="1">
        <v>0</v>
      </c>
      <c r="L2" s="2">
        <v>1900</v>
      </c>
      <c r="M2" s="1">
        <v>0</v>
      </c>
      <c r="N2" s="1" t="s">
        <v>50</v>
      </c>
      <c r="O2" s="3">
        <f>COS(ATAN(L2/J2))</f>
        <v>0.89347971092344947</v>
      </c>
      <c r="P2" s="3">
        <v>0.94984811127981039</v>
      </c>
      <c r="Q2" s="4" t="s">
        <v>29</v>
      </c>
    </row>
    <row r="3" spans="1:17" ht="61.5" x14ac:dyDescent="0.35">
      <c r="A3" s="1">
        <v>2</v>
      </c>
      <c r="B3" s="1">
        <v>0.97499999999999998</v>
      </c>
      <c r="C3" s="1">
        <v>1</v>
      </c>
      <c r="D3" s="1" t="s">
        <v>43</v>
      </c>
      <c r="E3" s="1" t="s">
        <v>11</v>
      </c>
      <c r="F3" s="1">
        <v>125000</v>
      </c>
      <c r="G3" s="2">
        <v>125459.985</v>
      </c>
      <c r="H3" s="1">
        <v>41100</v>
      </c>
      <c r="I3" s="2">
        <v>-43007.245000000003</v>
      </c>
      <c r="J3" s="2">
        <v>3779.9830000000002</v>
      </c>
      <c r="K3" s="1">
        <v>0</v>
      </c>
      <c r="L3" s="2">
        <v>-650.01499999999999</v>
      </c>
      <c r="M3" s="1">
        <v>0</v>
      </c>
      <c r="N3" s="1" t="s">
        <v>50</v>
      </c>
      <c r="O3" s="3">
        <f t="shared" ref="O3:O30" si="0">COS(ATAN(L3/J3))</f>
        <v>0.98553450518918251</v>
      </c>
      <c r="P3" s="3">
        <v>0.94977734364200384</v>
      </c>
      <c r="Q3" s="4" t="s">
        <v>29</v>
      </c>
    </row>
    <row r="4" spans="1:17" ht="61.5" x14ac:dyDescent="0.35">
      <c r="A4" s="1">
        <v>3</v>
      </c>
      <c r="B4" s="1">
        <v>1</v>
      </c>
      <c r="C4" s="1">
        <v>1</v>
      </c>
      <c r="D4" s="1" t="s">
        <v>43</v>
      </c>
      <c r="E4" s="1" t="s">
        <v>10</v>
      </c>
      <c r="F4" s="1">
        <v>125000</v>
      </c>
      <c r="G4" s="2">
        <v>125352.69100000001</v>
      </c>
      <c r="H4" s="1">
        <v>-41100</v>
      </c>
      <c r="I4" s="2">
        <v>42600.163</v>
      </c>
      <c r="J4" s="2">
        <v>3780.0079999999998</v>
      </c>
      <c r="K4" s="1">
        <v>0</v>
      </c>
      <c r="L4" s="2">
        <v>1879.9970000000001</v>
      </c>
      <c r="M4" s="1">
        <v>0</v>
      </c>
      <c r="N4" s="1" t="s">
        <v>50</v>
      </c>
      <c r="O4" s="3">
        <f t="shared" si="0"/>
        <v>0.89537332704940931</v>
      </c>
      <c r="P4" s="3">
        <v>0.94969597448406173</v>
      </c>
      <c r="Q4" s="4" t="s">
        <v>29</v>
      </c>
    </row>
    <row r="5" spans="1:17" ht="61.5" x14ac:dyDescent="0.35">
      <c r="A5" s="1">
        <v>4</v>
      </c>
      <c r="B5" s="1">
        <v>1</v>
      </c>
      <c r="C5" s="1">
        <v>1</v>
      </c>
      <c r="D5" s="1" t="s">
        <v>43</v>
      </c>
      <c r="E5" s="1" t="s">
        <v>11</v>
      </c>
      <c r="F5" s="1">
        <v>125000</v>
      </c>
      <c r="G5" s="2">
        <v>125571.789</v>
      </c>
      <c r="H5" s="1">
        <v>41100</v>
      </c>
      <c r="I5" s="2">
        <v>-41488.885000000002</v>
      </c>
      <c r="J5" s="2">
        <v>3780.002</v>
      </c>
      <c r="K5" s="1">
        <v>0</v>
      </c>
      <c r="L5" s="2">
        <v>-624.99099999999999</v>
      </c>
      <c r="M5" s="1">
        <v>0</v>
      </c>
      <c r="N5" s="1" t="s">
        <v>50</v>
      </c>
      <c r="O5" s="3">
        <f t="shared" si="0"/>
        <v>0.98660512544697365</v>
      </c>
      <c r="P5" s="3">
        <v>0.95008580534651987</v>
      </c>
      <c r="Q5" s="4" t="s">
        <v>29</v>
      </c>
    </row>
    <row r="6" spans="1:17" ht="61.5" x14ac:dyDescent="0.35">
      <c r="A6" s="1">
        <v>5</v>
      </c>
      <c r="B6" s="1">
        <v>1.0249999999999999</v>
      </c>
      <c r="C6" s="1">
        <v>1</v>
      </c>
      <c r="D6" s="1" t="s">
        <v>43</v>
      </c>
      <c r="E6" s="1" t="s">
        <v>10</v>
      </c>
      <c r="F6" s="1">
        <v>125000</v>
      </c>
      <c r="G6" s="2">
        <v>125500.639</v>
      </c>
      <c r="H6" s="1">
        <v>-41100</v>
      </c>
      <c r="I6" s="2">
        <v>41485.923999999999</v>
      </c>
      <c r="J6" s="2">
        <v>3779.9830000000002</v>
      </c>
      <c r="K6" s="1">
        <v>0</v>
      </c>
      <c r="L6" s="2">
        <v>1819.9829999999999</v>
      </c>
      <c r="M6" s="1">
        <v>0</v>
      </c>
      <c r="N6" s="1" t="s">
        <v>50</v>
      </c>
      <c r="O6" s="3">
        <f t="shared" si="0"/>
        <v>0.90100249101643948</v>
      </c>
      <c r="P6" s="3">
        <v>0.9490532994116575</v>
      </c>
      <c r="Q6" s="4" t="s">
        <v>29</v>
      </c>
    </row>
    <row r="7" spans="1:17" ht="61.5" x14ac:dyDescent="0.35">
      <c r="A7" s="1">
        <v>6</v>
      </c>
      <c r="B7" s="1">
        <v>1.0249999999999999</v>
      </c>
      <c r="C7" s="1">
        <v>1</v>
      </c>
      <c r="D7" s="1" t="s">
        <v>43</v>
      </c>
      <c r="E7" s="1" t="s">
        <v>11</v>
      </c>
      <c r="F7" s="1">
        <v>125000</v>
      </c>
      <c r="G7" s="2">
        <v>125492.00199999999</v>
      </c>
      <c r="H7" s="1">
        <v>41100</v>
      </c>
      <c r="I7" s="2">
        <v>-42030.107000000004</v>
      </c>
      <c r="J7" s="2">
        <v>3779.9989999999998</v>
      </c>
      <c r="K7" s="1">
        <v>0</v>
      </c>
      <c r="L7" s="2">
        <v>-649.99900000000002</v>
      </c>
      <c r="M7" s="1">
        <v>0</v>
      </c>
      <c r="N7" s="1" t="s">
        <v>50</v>
      </c>
      <c r="O7" s="3">
        <f t="shared" si="0"/>
        <v>0.9855353217438988</v>
      </c>
      <c r="P7" s="3">
        <v>0.95028103123958985</v>
      </c>
      <c r="Q7" s="4" t="s">
        <v>29</v>
      </c>
    </row>
    <row r="8" spans="1:17" ht="61.5" x14ac:dyDescent="0.35">
      <c r="A8" s="1">
        <v>7</v>
      </c>
      <c r="B8" s="1">
        <v>0.97499999999999998</v>
      </c>
      <c r="C8" s="1">
        <v>1</v>
      </c>
      <c r="D8" s="1" t="s">
        <v>44</v>
      </c>
      <c r="E8" s="1" t="s">
        <v>10</v>
      </c>
      <c r="F8" s="1">
        <v>125000</v>
      </c>
      <c r="G8" s="2">
        <v>125637.414</v>
      </c>
      <c r="H8" s="1">
        <v>-41100</v>
      </c>
      <c r="I8" s="2">
        <v>42699.355000000003</v>
      </c>
      <c r="J8" s="2">
        <v>0</v>
      </c>
      <c r="K8" s="1">
        <v>1990</v>
      </c>
      <c r="L8" s="2">
        <v>0</v>
      </c>
      <c r="M8" s="1">
        <v>-890</v>
      </c>
      <c r="N8" s="3">
        <f t="shared" ref="N8:N25" si="1">COS(ATAN(M8/K8))</f>
        <v>0.91286324536759966</v>
      </c>
      <c r="O8" s="3" t="s">
        <v>50</v>
      </c>
      <c r="P8" s="3">
        <v>0.94772840094973099</v>
      </c>
      <c r="Q8" s="4" t="s">
        <v>29</v>
      </c>
    </row>
    <row r="9" spans="1:17" ht="61.5" x14ac:dyDescent="0.35">
      <c r="A9" s="1">
        <v>8</v>
      </c>
      <c r="B9" s="1">
        <v>0.97499999999999998</v>
      </c>
      <c r="C9" s="1">
        <v>1</v>
      </c>
      <c r="D9" s="1" t="s">
        <v>44</v>
      </c>
      <c r="E9" s="1" t="s">
        <v>11</v>
      </c>
      <c r="F9" s="1">
        <v>125000</v>
      </c>
      <c r="G9" s="2">
        <v>125679.49800000001</v>
      </c>
      <c r="H9" s="1">
        <v>41100</v>
      </c>
      <c r="I9" s="2">
        <v>-42609.05</v>
      </c>
      <c r="J9" s="2">
        <v>0</v>
      </c>
      <c r="K9" s="1">
        <v>1990</v>
      </c>
      <c r="L9" s="2">
        <v>0</v>
      </c>
      <c r="M9" s="1">
        <v>450</v>
      </c>
      <c r="N9" s="3">
        <f t="shared" si="1"/>
        <v>0.97537301585576897</v>
      </c>
      <c r="O9" s="3" t="s">
        <v>50</v>
      </c>
      <c r="P9" s="3">
        <v>0.94715994148837446</v>
      </c>
      <c r="Q9" s="4" t="s">
        <v>29</v>
      </c>
    </row>
    <row r="10" spans="1:17" ht="61.5" x14ac:dyDescent="0.35">
      <c r="A10" s="1">
        <v>9</v>
      </c>
      <c r="B10" s="1">
        <v>1</v>
      </c>
      <c r="C10" s="1">
        <v>1</v>
      </c>
      <c r="D10" s="1" t="s">
        <v>44</v>
      </c>
      <c r="E10" s="1" t="s">
        <v>10</v>
      </c>
      <c r="F10" s="1">
        <v>125000</v>
      </c>
      <c r="G10" s="2">
        <v>125648.95600000001</v>
      </c>
      <c r="H10" s="1">
        <v>-41100</v>
      </c>
      <c r="I10" s="2">
        <v>42502.798999999999</v>
      </c>
      <c r="J10" s="2">
        <v>0</v>
      </c>
      <c r="K10" s="1">
        <v>1990</v>
      </c>
      <c r="L10" s="2">
        <v>0</v>
      </c>
      <c r="M10" s="1">
        <v>-880</v>
      </c>
      <c r="N10" s="3">
        <f t="shared" si="1"/>
        <v>0.91456803005165521</v>
      </c>
      <c r="O10" s="3" t="s">
        <v>50</v>
      </c>
      <c r="P10" s="3">
        <v>0.94856721125134202</v>
      </c>
      <c r="Q10" s="4" t="s">
        <v>29</v>
      </c>
    </row>
    <row r="11" spans="1:17" ht="61.5" x14ac:dyDescent="0.35">
      <c r="A11" s="1">
        <v>10</v>
      </c>
      <c r="B11" s="1">
        <v>1</v>
      </c>
      <c r="C11" s="1">
        <v>1</v>
      </c>
      <c r="D11" s="1" t="s">
        <v>44</v>
      </c>
      <c r="E11" s="1" t="s">
        <v>11</v>
      </c>
      <c r="F11" s="1">
        <v>125000</v>
      </c>
      <c r="G11" s="2">
        <v>125680.552</v>
      </c>
      <c r="H11" s="1">
        <v>41100</v>
      </c>
      <c r="I11" s="2">
        <v>-42118.069000000003</v>
      </c>
      <c r="J11" s="2">
        <v>0</v>
      </c>
      <c r="K11" s="1">
        <v>1990</v>
      </c>
      <c r="L11" s="2">
        <v>0</v>
      </c>
      <c r="M11" s="1">
        <v>450</v>
      </c>
      <c r="N11" s="3">
        <f t="shared" si="1"/>
        <v>0.97537301585576897</v>
      </c>
      <c r="O11" s="3" t="s">
        <v>50</v>
      </c>
      <c r="P11" s="3">
        <v>0.94848443722461107</v>
      </c>
      <c r="Q11" s="4" t="s">
        <v>29</v>
      </c>
    </row>
    <row r="12" spans="1:17" ht="61.5" x14ac:dyDescent="0.35">
      <c r="A12" s="1">
        <v>11</v>
      </c>
      <c r="B12" s="1">
        <v>1.0249999999999999</v>
      </c>
      <c r="C12" s="1">
        <v>1</v>
      </c>
      <c r="D12" s="1" t="s">
        <v>44</v>
      </c>
      <c r="E12" s="1" t="s">
        <v>10</v>
      </c>
      <c r="F12" s="1">
        <v>125000</v>
      </c>
      <c r="G12" s="2">
        <v>125671.719</v>
      </c>
      <c r="H12" s="1">
        <v>-41100</v>
      </c>
      <c r="I12" s="2">
        <v>42480.938000000002</v>
      </c>
      <c r="J12" s="2">
        <v>0</v>
      </c>
      <c r="K12" s="1">
        <v>1990</v>
      </c>
      <c r="L12" s="2">
        <v>0</v>
      </c>
      <c r="M12" s="1">
        <v>-870</v>
      </c>
      <c r="N12" s="3">
        <f t="shared" si="1"/>
        <v>0.9162629763602983</v>
      </c>
      <c r="O12" s="3" t="s">
        <v>50</v>
      </c>
      <c r="P12" s="3">
        <v>0.94822451741992375</v>
      </c>
      <c r="Q12" s="4" t="s">
        <v>29</v>
      </c>
    </row>
    <row r="13" spans="1:17" ht="61.5" x14ac:dyDescent="0.35">
      <c r="A13" s="1">
        <v>12</v>
      </c>
      <c r="B13" s="1">
        <v>1.0249999999999999</v>
      </c>
      <c r="C13" s="1">
        <v>1</v>
      </c>
      <c r="D13" s="1" t="s">
        <v>44</v>
      </c>
      <c r="E13" s="1" t="s">
        <v>11</v>
      </c>
      <c r="F13" s="1">
        <v>125000</v>
      </c>
      <c r="G13" s="2">
        <v>125692.02499999999</v>
      </c>
      <c r="H13" s="1">
        <v>41100</v>
      </c>
      <c r="I13" s="2">
        <v>-41681.654000000002</v>
      </c>
      <c r="J13" s="2">
        <v>0</v>
      </c>
      <c r="K13" s="1">
        <v>1990</v>
      </c>
      <c r="L13" s="2">
        <v>0</v>
      </c>
      <c r="M13" s="1">
        <v>450</v>
      </c>
      <c r="N13" s="3">
        <f t="shared" si="1"/>
        <v>0.97537301585576897</v>
      </c>
      <c r="O13" s="3" t="s">
        <v>50</v>
      </c>
      <c r="P13" s="3">
        <v>0.94717199302175425</v>
      </c>
      <c r="Q13" s="4" t="s">
        <v>29</v>
      </c>
    </row>
    <row r="14" spans="1:17" ht="61.5" x14ac:dyDescent="0.35">
      <c r="A14" s="1">
        <v>13</v>
      </c>
      <c r="B14" s="1">
        <v>0.97499999999999998</v>
      </c>
      <c r="C14" s="1">
        <v>1</v>
      </c>
      <c r="D14" s="1" t="s">
        <v>45</v>
      </c>
      <c r="E14" s="1" t="s">
        <v>10</v>
      </c>
      <c r="F14" s="1">
        <v>-125000</v>
      </c>
      <c r="G14" s="2">
        <v>-125549.823</v>
      </c>
      <c r="H14" s="1">
        <v>-41100</v>
      </c>
      <c r="I14" s="2">
        <v>42812.684999999998</v>
      </c>
      <c r="J14" s="2">
        <v>0</v>
      </c>
      <c r="K14" s="1">
        <v>-1935</v>
      </c>
      <c r="L14" s="2">
        <v>0</v>
      </c>
      <c r="M14" s="1">
        <v>-890</v>
      </c>
      <c r="N14" s="3">
        <f t="shared" si="1"/>
        <v>0.90850827754771368</v>
      </c>
      <c r="O14" s="3" t="s">
        <v>50</v>
      </c>
      <c r="P14" s="3">
        <v>0.94809937472129302</v>
      </c>
      <c r="Q14" s="4" t="s">
        <v>29</v>
      </c>
    </row>
    <row r="15" spans="1:17" ht="61.5" x14ac:dyDescent="0.35">
      <c r="A15" s="1">
        <v>14</v>
      </c>
      <c r="B15" s="1">
        <v>0.97499999999999998</v>
      </c>
      <c r="C15" s="1">
        <v>1</v>
      </c>
      <c r="D15" s="1" t="s">
        <v>45</v>
      </c>
      <c r="E15" s="1" t="s">
        <v>11</v>
      </c>
      <c r="F15" s="1">
        <v>-125000</v>
      </c>
      <c r="G15" s="2">
        <v>-125513.01700000001</v>
      </c>
      <c r="H15" s="1">
        <v>41100</v>
      </c>
      <c r="I15" s="2">
        <v>-41076.118000000002</v>
      </c>
      <c r="J15" s="2">
        <v>0</v>
      </c>
      <c r="K15" s="1">
        <v>-1935</v>
      </c>
      <c r="L15" s="2">
        <v>0</v>
      </c>
      <c r="M15" s="1">
        <v>430</v>
      </c>
      <c r="N15" s="3">
        <f t="shared" si="1"/>
        <v>0.97618706018395274</v>
      </c>
      <c r="O15" s="3" t="s">
        <v>50</v>
      </c>
      <c r="P15" s="3">
        <v>0.9492626090927887</v>
      </c>
      <c r="Q15" s="4" t="s">
        <v>29</v>
      </c>
    </row>
    <row r="16" spans="1:17" ht="61.5" x14ac:dyDescent="0.35">
      <c r="A16" s="1">
        <v>15</v>
      </c>
      <c r="B16" s="1">
        <v>1</v>
      </c>
      <c r="C16" s="1">
        <v>1</v>
      </c>
      <c r="D16" s="1" t="s">
        <v>45</v>
      </c>
      <c r="E16" s="1" t="s">
        <v>10</v>
      </c>
      <c r="F16" s="1">
        <v>-125000</v>
      </c>
      <c r="G16" s="2">
        <v>-125534.101</v>
      </c>
      <c r="H16" s="1">
        <v>-41100</v>
      </c>
      <c r="I16" s="2">
        <v>43330.595999999998</v>
      </c>
      <c r="J16" s="2">
        <v>0</v>
      </c>
      <c r="K16" s="1">
        <v>-1935</v>
      </c>
      <c r="L16" s="2">
        <v>0</v>
      </c>
      <c r="M16" s="1">
        <v>-890</v>
      </c>
      <c r="N16" s="3">
        <f t="shared" si="1"/>
        <v>0.90850827754771368</v>
      </c>
      <c r="O16" s="3" t="s">
        <v>50</v>
      </c>
      <c r="P16" s="3">
        <v>0.94896656382883127</v>
      </c>
      <c r="Q16" s="4" t="s">
        <v>29</v>
      </c>
    </row>
    <row r="17" spans="1:17" ht="61.5" x14ac:dyDescent="0.35">
      <c r="A17" s="1">
        <v>16</v>
      </c>
      <c r="B17" s="1">
        <v>1</v>
      </c>
      <c r="C17" s="1">
        <v>1</v>
      </c>
      <c r="D17" s="1" t="s">
        <v>45</v>
      </c>
      <c r="E17" s="1" t="s">
        <v>11</v>
      </c>
      <c r="F17" s="1">
        <v>-125000</v>
      </c>
      <c r="G17" s="2">
        <v>-125506.995</v>
      </c>
      <c r="H17" s="1">
        <v>41100</v>
      </c>
      <c r="I17" s="2">
        <v>-42657.724999999999</v>
      </c>
      <c r="J17" s="2">
        <v>0</v>
      </c>
      <c r="K17" s="1">
        <v>-1935</v>
      </c>
      <c r="L17" s="2">
        <v>0</v>
      </c>
      <c r="M17" s="1">
        <v>460</v>
      </c>
      <c r="N17" s="3">
        <f t="shared" si="1"/>
        <v>0.97288707549151887</v>
      </c>
      <c r="O17" s="3" t="s">
        <v>50</v>
      </c>
      <c r="P17" s="3">
        <v>0.94833059954273524</v>
      </c>
      <c r="Q17" s="4" t="s">
        <v>29</v>
      </c>
    </row>
    <row r="18" spans="1:17" ht="61.5" x14ac:dyDescent="0.35">
      <c r="A18" s="1">
        <v>17</v>
      </c>
      <c r="B18" s="1">
        <v>1.0249999999999999</v>
      </c>
      <c r="C18" s="1">
        <v>1</v>
      </c>
      <c r="D18" s="1" t="s">
        <v>45</v>
      </c>
      <c r="E18" s="1" t="s">
        <v>10</v>
      </c>
      <c r="F18" s="1">
        <v>-125000</v>
      </c>
      <c r="G18" s="2">
        <v>-125534.993</v>
      </c>
      <c r="H18" s="1">
        <v>-41100</v>
      </c>
      <c r="I18" s="2">
        <v>43513.425000000003</v>
      </c>
      <c r="J18" s="2">
        <v>0</v>
      </c>
      <c r="K18" s="1">
        <v>-1935</v>
      </c>
      <c r="L18" s="2">
        <v>0</v>
      </c>
      <c r="M18" s="1">
        <v>-890</v>
      </c>
      <c r="N18" s="3">
        <f t="shared" si="1"/>
        <v>0.90850827754771368</v>
      </c>
      <c r="O18" s="3" t="s">
        <v>50</v>
      </c>
      <c r="P18" s="3">
        <v>0.94833286818586426</v>
      </c>
      <c r="Q18" s="4" t="s">
        <v>29</v>
      </c>
    </row>
    <row r="19" spans="1:17" ht="61.5" x14ac:dyDescent="0.35">
      <c r="A19" s="1">
        <v>18</v>
      </c>
      <c r="B19" s="1">
        <v>1.0249999999999999</v>
      </c>
      <c r="C19" s="1">
        <v>1</v>
      </c>
      <c r="D19" s="1" t="s">
        <v>45</v>
      </c>
      <c r="E19" s="1" t="s">
        <v>11</v>
      </c>
      <c r="F19" s="1">
        <v>-125000</v>
      </c>
      <c r="G19" s="2">
        <v>-125497.519</v>
      </c>
      <c r="H19" s="1">
        <v>41100</v>
      </c>
      <c r="I19" s="2">
        <v>-42906.724999999999</v>
      </c>
      <c r="J19" s="2">
        <v>0</v>
      </c>
      <c r="K19" s="1">
        <v>-1935</v>
      </c>
      <c r="L19" s="2">
        <v>0</v>
      </c>
      <c r="M19" s="1">
        <v>470</v>
      </c>
      <c r="N19" s="3">
        <f t="shared" si="1"/>
        <v>0.97174547701084968</v>
      </c>
      <c r="O19" s="3" t="s">
        <v>50</v>
      </c>
      <c r="P19" s="3">
        <v>0.94774333566637525</v>
      </c>
      <c r="Q19" s="4" t="s">
        <v>29</v>
      </c>
    </row>
    <row r="20" spans="1:17" ht="61.5" x14ac:dyDescent="0.35">
      <c r="A20" s="1">
        <v>19</v>
      </c>
      <c r="B20" s="1">
        <v>0.97499999999999998</v>
      </c>
      <c r="C20" s="1">
        <v>1</v>
      </c>
      <c r="D20" s="1" t="s">
        <v>30</v>
      </c>
      <c r="E20" s="1" t="s">
        <v>10</v>
      </c>
      <c r="F20" s="1">
        <v>250000</v>
      </c>
      <c r="G20" s="2">
        <v>250405.41</v>
      </c>
      <c r="H20" s="1">
        <v>-82200</v>
      </c>
      <c r="I20" s="2">
        <v>83376.489000000001</v>
      </c>
      <c r="J20" s="2">
        <v>3500</v>
      </c>
      <c r="K20" s="1">
        <v>2120</v>
      </c>
      <c r="L20" s="2">
        <v>2500</v>
      </c>
      <c r="M20" s="1">
        <v>-960</v>
      </c>
      <c r="N20" s="3">
        <f t="shared" si="1"/>
        <v>0.91095418022193131</v>
      </c>
      <c r="O20" s="3">
        <f t="shared" si="0"/>
        <v>0.813733471206735</v>
      </c>
      <c r="P20" s="3">
        <v>0.94963983187547651</v>
      </c>
      <c r="Q20" s="4" t="s">
        <v>29</v>
      </c>
    </row>
    <row r="21" spans="1:17" ht="61.5" x14ac:dyDescent="0.35">
      <c r="A21" s="1">
        <v>20</v>
      </c>
      <c r="B21" s="1">
        <v>0.97499999999999998</v>
      </c>
      <c r="C21" s="1">
        <v>1</v>
      </c>
      <c r="D21" s="1" t="s">
        <v>30</v>
      </c>
      <c r="E21" s="1" t="s">
        <v>11</v>
      </c>
      <c r="F21" s="1">
        <v>250000</v>
      </c>
      <c r="G21" s="2">
        <v>250833.584</v>
      </c>
      <c r="H21" s="1">
        <v>82200</v>
      </c>
      <c r="I21" s="2">
        <v>-82686.350000000006</v>
      </c>
      <c r="J21" s="2">
        <v>3499.9940000000001</v>
      </c>
      <c r="K21" s="1">
        <v>2120</v>
      </c>
      <c r="L21" s="2">
        <v>-240.023</v>
      </c>
      <c r="M21" s="1">
        <v>250</v>
      </c>
      <c r="N21" s="3">
        <f t="shared" si="1"/>
        <v>0.99311859087397591</v>
      </c>
      <c r="O21" s="3">
        <f t="shared" si="0"/>
        <v>0.99765678270397162</v>
      </c>
      <c r="P21" s="3">
        <v>0.94948407120876521</v>
      </c>
      <c r="Q21" s="4" t="s">
        <v>29</v>
      </c>
    </row>
    <row r="22" spans="1:17" ht="61.5" x14ac:dyDescent="0.35">
      <c r="A22" s="1">
        <v>21</v>
      </c>
      <c r="B22" s="1">
        <v>1</v>
      </c>
      <c r="C22" s="1">
        <v>1</v>
      </c>
      <c r="D22" s="1" t="s">
        <v>30</v>
      </c>
      <c r="E22" s="1" t="s">
        <v>10</v>
      </c>
      <c r="F22" s="1">
        <v>250000</v>
      </c>
      <c r="G22" s="2">
        <v>250462.17600000001</v>
      </c>
      <c r="H22" s="1">
        <v>-82200</v>
      </c>
      <c r="I22" s="2">
        <v>84602.043000000005</v>
      </c>
      <c r="J22" s="2">
        <v>3500.02</v>
      </c>
      <c r="K22" s="1">
        <v>2120</v>
      </c>
      <c r="L22" s="2">
        <v>2500.0030000000002</v>
      </c>
      <c r="M22" s="1">
        <v>-950</v>
      </c>
      <c r="N22" s="3">
        <f t="shared" si="1"/>
        <v>0.91256472125101218</v>
      </c>
      <c r="O22" s="3">
        <f t="shared" si="0"/>
        <v>0.81373471222177052</v>
      </c>
      <c r="P22" s="3">
        <v>0.94958904446399828</v>
      </c>
      <c r="Q22" s="4" t="s">
        <v>29</v>
      </c>
    </row>
    <row r="23" spans="1:17" ht="61.5" x14ac:dyDescent="0.35">
      <c r="A23" s="1">
        <v>22</v>
      </c>
      <c r="B23" s="1">
        <v>1</v>
      </c>
      <c r="C23" s="1">
        <v>1</v>
      </c>
      <c r="D23" s="1" t="s">
        <v>30</v>
      </c>
      <c r="E23" s="1" t="s">
        <v>11</v>
      </c>
      <c r="F23" s="1">
        <v>250000</v>
      </c>
      <c r="G23" s="2">
        <v>250881.81599999999</v>
      </c>
      <c r="H23" s="1">
        <v>82200</v>
      </c>
      <c r="I23" s="2">
        <v>-83610.171000000002</v>
      </c>
      <c r="J23" s="2">
        <v>3499.9879999999998</v>
      </c>
      <c r="K23" s="1">
        <v>2120</v>
      </c>
      <c r="L23" s="2">
        <v>-260.00099999999998</v>
      </c>
      <c r="M23" s="1">
        <v>280</v>
      </c>
      <c r="N23" s="3">
        <f t="shared" si="1"/>
        <v>0.99139051007005452</v>
      </c>
      <c r="O23" s="3">
        <f t="shared" si="0"/>
        <v>0.99725214389098571</v>
      </c>
      <c r="P23" s="3">
        <v>0.94673413955858632</v>
      </c>
      <c r="Q23" s="4" t="s">
        <v>29</v>
      </c>
    </row>
    <row r="24" spans="1:17" ht="61.5" x14ac:dyDescent="0.35">
      <c r="A24" s="1">
        <v>23</v>
      </c>
      <c r="B24" s="1">
        <v>1.0249999999999999</v>
      </c>
      <c r="C24" s="1">
        <v>1</v>
      </c>
      <c r="D24" s="1" t="s">
        <v>30</v>
      </c>
      <c r="E24" s="1" t="s">
        <v>10</v>
      </c>
      <c r="F24" s="1">
        <v>250000</v>
      </c>
      <c r="G24" s="2">
        <v>250539.58799999999</v>
      </c>
      <c r="H24" s="1">
        <v>-82200</v>
      </c>
      <c r="I24" s="2">
        <v>83660.725999999995</v>
      </c>
      <c r="J24" s="2">
        <v>3499.9639999999999</v>
      </c>
      <c r="K24" s="1">
        <v>2120</v>
      </c>
      <c r="L24" s="2">
        <v>2450.0129999999999</v>
      </c>
      <c r="M24" s="1">
        <v>-930</v>
      </c>
      <c r="N24" s="3">
        <f t="shared" si="1"/>
        <v>0.91576033085152031</v>
      </c>
      <c r="O24" s="3">
        <f t="shared" si="0"/>
        <v>0.81922771984997622</v>
      </c>
      <c r="P24" s="3">
        <v>0.94930352938873486</v>
      </c>
      <c r="Q24" s="4" t="s">
        <v>29</v>
      </c>
    </row>
    <row r="25" spans="1:17" ht="61.5" x14ac:dyDescent="0.35">
      <c r="A25" s="1">
        <v>24</v>
      </c>
      <c r="B25" s="1">
        <v>1.0249999999999999</v>
      </c>
      <c r="C25" s="1">
        <v>1</v>
      </c>
      <c r="D25" s="1" t="s">
        <v>30</v>
      </c>
      <c r="E25" s="1" t="s">
        <v>11</v>
      </c>
      <c r="F25" s="1">
        <v>250000</v>
      </c>
      <c r="G25" s="2">
        <v>250930.87100000001</v>
      </c>
      <c r="H25" s="1">
        <v>82200</v>
      </c>
      <c r="I25" s="2">
        <v>-82138.384999999995</v>
      </c>
      <c r="J25" s="2">
        <v>3500.0010000000002</v>
      </c>
      <c r="K25" s="1">
        <v>2120</v>
      </c>
      <c r="L25" s="2">
        <v>-270</v>
      </c>
      <c r="M25" s="1">
        <v>280</v>
      </c>
      <c r="N25" s="3">
        <f t="shared" si="1"/>
        <v>0.99139051007005452</v>
      </c>
      <c r="O25" s="3">
        <f t="shared" si="0"/>
        <v>0.99703770645332679</v>
      </c>
      <c r="P25" s="3">
        <v>0.94917076493868524</v>
      </c>
      <c r="Q25" s="4" t="s">
        <v>29</v>
      </c>
    </row>
    <row r="26" spans="1:17" ht="61.5" x14ac:dyDescent="0.35">
      <c r="A26" s="1">
        <v>25</v>
      </c>
      <c r="B26" s="1">
        <v>0.97499999999999998</v>
      </c>
      <c r="C26" s="1">
        <v>0</v>
      </c>
      <c r="D26" s="1" t="s">
        <v>53</v>
      </c>
      <c r="E26" s="3" t="s">
        <v>47</v>
      </c>
      <c r="F26" s="1">
        <v>0</v>
      </c>
      <c r="G26" s="2">
        <v>-1019.038</v>
      </c>
      <c r="H26" s="1">
        <v>0</v>
      </c>
      <c r="I26" s="2">
        <v>0.74399999999999999</v>
      </c>
      <c r="J26" s="2">
        <v>0</v>
      </c>
      <c r="K26" s="1">
        <v>0</v>
      </c>
      <c r="L26" s="2">
        <v>-37</v>
      </c>
      <c r="M26" s="1">
        <v>10</v>
      </c>
      <c r="N26" s="1" t="s">
        <v>50</v>
      </c>
      <c r="O26" s="3" t="s">
        <v>50</v>
      </c>
      <c r="P26" s="3" t="s">
        <v>47</v>
      </c>
      <c r="Q26" s="4" t="s">
        <v>29</v>
      </c>
    </row>
    <row r="27" spans="1:17" ht="61.5" x14ac:dyDescent="0.35">
      <c r="A27" s="1">
        <v>26</v>
      </c>
      <c r="B27" s="1">
        <v>1</v>
      </c>
      <c r="C27" s="1">
        <v>0</v>
      </c>
      <c r="D27" s="1" t="s">
        <v>53</v>
      </c>
      <c r="E27" s="3" t="s">
        <v>47</v>
      </c>
      <c r="F27" s="1">
        <v>0</v>
      </c>
      <c r="G27" s="2">
        <v>-1019.25</v>
      </c>
      <c r="H27" s="1">
        <v>0</v>
      </c>
      <c r="I27" s="2">
        <v>11.502000000000001</v>
      </c>
      <c r="J27" s="2">
        <v>0</v>
      </c>
      <c r="K27" s="1">
        <v>0</v>
      </c>
      <c r="L27" s="2">
        <v>-33</v>
      </c>
      <c r="M27" s="1">
        <v>12</v>
      </c>
      <c r="N27" s="1" t="s">
        <v>50</v>
      </c>
      <c r="O27" s="3" t="s">
        <v>50</v>
      </c>
      <c r="P27" s="3" t="s">
        <v>47</v>
      </c>
      <c r="Q27" s="4" t="s">
        <v>29</v>
      </c>
    </row>
    <row r="28" spans="1:17" ht="61.5" x14ac:dyDescent="0.35">
      <c r="A28" s="1">
        <v>27</v>
      </c>
      <c r="B28" s="1">
        <v>1.0249999999999999</v>
      </c>
      <c r="C28" s="1">
        <v>0</v>
      </c>
      <c r="D28" s="1" t="s">
        <v>53</v>
      </c>
      <c r="E28" s="3" t="s">
        <v>47</v>
      </c>
      <c r="F28" s="1">
        <v>0</v>
      </c>
      <c r="G28" s="2">
        <v>-1021.101</v>
      </c>
      <c r="H28" s="1">
        <v>0</v>
      </c>
      <c r="I28" s="2">
        <v>5.8639999999999999</v>
      </c>
      <c r="J28" s="2">
        <v>0</v>
      </c>
      <c r="K28" s="1">
        <v>0</v>
      </c>
      <c r="L28" s="2">
        <v>-36</v>
      </c>
      <c r="M28" s="1">
        <v>10</v>
      </c>
      <c r="N28" s="1" t="s">
        <v>50</v>
      </c>
      <c r="O28" s="3" t="s">
        <v>50</v>
      </c>
      <c r="P28" s="3" t="s">
        <v>47</v>
      </c>
      <c r="Q28" s="4" t="s">
        <v>29</v>
      </c>
    </row>
    <row r="29" spans="1:17" ht="61.5" x14ac:dyDescent="0.35">
      <c r="A29" s="1">
        <v>28</v>
      </c>
      <c r="B29" s="1">
        <v>0.97499999999999998</v>
      </c>
      <c r="C29" s="1">
        <v>0</v>
      </c>
      <c r="D29" s="1" t="s">
        <v>46</v>
      </c>
      <c r="E29" s="3" t="s">
        <v>47</v>
      </c>
      <c r="F29" s="1">
        <v>0</v>
      </c>
      <c r="G29" s="2">
        <v>125341.674</v>
      </c>
      <c r="H29" s="1">
        <v>0</v>
      </c>
      <c r="I29" s="2">
        <v>-19136.243999999999</v>
      </c>
      <c r="J29" s="2">
        <v>3769.9920000000002</v>
      </c>
      <c r="K29" s="1">
        <v>0</v>
      </c>
      <c r="L29" s="2">
        <v>-1E-3</v>
      </c>
      <c r="M29" s="1">
        <v>0</v>
      </c>
      <c r="N29" s="1" t="s">
        <v>50</v>
      </c>
      <c r="O29" s="3">
        <f t="shared" si="0"/>
        <v>0.99999999999996481</v>
      </c>
      <c r="P29" s="3" t="s">
        <v>47</v>
      </c>
      <c r="Q29" s="4" t="s">
        <v>29</v>
      </c>
    </row>
    <row r="30" spans="1:17" ht="61.5" x14ac:dyDescent="0.35">
      <c r="A30" s="1">
        <v>29</v>
      </c>
      <c r="B30" s="1">
        <v>1</v>
      </c>
      <c r="C30" s="1">
        <v>0</v>
      </c>
      <c r="D30" s="1" t="s">
        <v>46</v>
      </c>
      <c r="E30" s="3" t="s">
        <v>47</v>
      </c>
      <c r="F30" s="1">
        <v>0</v>
      </c>
      <c r="G30" s="2">
        <v>125024.049</v>
      </c>
      <c r="H30" s="1">
        <v>0</v>
      </c>
      <c r="I30" s="2">
        <v>-18582.826000000001</v>
      </c>
      <c r="J30" s="2">
        <v>3760</v>
      </c>
      <c r="K30" s="1">
        <v>0</v>
      </c>
      <c r="L30" s="2">
        <v>0</v>
      </c>
      <c r="M30" s="1">
        <v>0</v>
      </c>
      <c r="N30" s="1" t="s">
        <v>50</v>
      </c>
      <c r="O30" s="3">
        <f t="shared" si="0"/>
        <v>1</v>
      </c>
      <c r="P30" s="3" t="s">
        <v>47</v>
      </c>
      <c r="Q30" s="4" t="s">
        <v>29</v>
      </c>
    </row>
    <row r="31" spans="1:17" ht="61.5" x14ac:dyDescent="0.35">
      <c r="A31" s="1">
        <v>30</v>
      </c>
      <c r="B31" s="1">
        <v>1.0249999999999999</v>
      </c>
      <c r="C31" s="1">
        <v>0</v>
      </c>
      <c r="D31" s="1" t="s">
        <v>46</v>
      </c>
      <c r="E31" s="3" t="s">
        <v>47</v>
      </c>
      <c r="F31" s="1">
        <v>0</v>
      </c>
      <c r="G31" s="2">
        <v>125033.315</v>
      </c>
      <c r="H31" s="1">
        <v>0</v>
      </c>
      <c r="I31" s="2">
        <v>-18211.170999999998</v>
      </c>
      <c r="J31" s="2">
        <v>3760</v>
      </c>
      <c r="K31" s="1">
        <v>0</v>
      </c>
      <c r="L31" s="2">
        <v>1E-3</v>
      </c>
      <c r="M31" s="1">
        <v>0</v>
      </c>
      <c r="N31" s="1" t="s">
        <v>50</v>
      </c>
      <c r="O31" s="3">
        <f t="shared" ref="O31" si="2">COS(ATAN(L31/J31))</f>
        <v>0.99999999999996458</v>
      </c>
      <c r="P31" s="3" t="s">
        <v>47</v>
      </c>
      <c r="Q31" s="4" t="s">
        <v>29</v>
      </c>
    </row>
    <row r="32" spans="1:17" ht="61.5" x14ac:dyDescent="0.35">
      <c r="A32" s="1">
        <v>31</v>
      </c>
      <c r="B32" s="1">
        <v>0.97499999999999998</v>
      </c>
      <c r="C32" s="1">
        <v>0</v>
      </c>
      <c r="D32" s="1" t="s">
        <v>51</v>
      </c>
      <c r="E32" s="3" t="s">
        <v>47</v>
      </c>
      <c r="F32" s="1">
        <v>0</v>
      </c>
      <c r="G32" s="2">
        <v>1217</v>
      </c>
      <c r="H32" s="1">
        <v>41100</v>
      </c>
      <c r="I32" s="2">
        <v>42181</v>
      </c>
      <c r="J32" s="2">
        <v>0</v>
      </c>
      <c r="K32" s="1">
        <v>0</v>
      </c>
      <c r="L32" s="2">
        <v>1250</v>
      </c>
      <c r="M32" s="1">
        <v>0</v>
      </c>
      <c r="N32" s="1" t="s">
        <v>50</v>
      </c>
      <c r="O32" s="3" t="s">
        <v>50</v>
      </c>
      <c r="P32" s="3" t="s">
        <v>47</v>
      </c>
      <c r="Q32" s="4" t="s">
        <v>29</v>
      </c>
    </row>
    <row r="33" spans="1:17" ht="61.5" x14ac:dyDescent="0.35">
      <c r="A33" s="1">
        <v>32</v>
      </c>
      <c r="B33" s="1">
        <v>1</v>
      </c>
      <c r="C33" s="1">
        <v>0</v>
      </c>
      <c r="D33" s="1" t="s">
        <v>51</v>
      </c>
      <c r="E33" s="3" t="s">
        <v>47</v>
      </c>
      <c r="F33" s="1">
        <v>0</v>
      </c>
      <c r="G33" s="2">
        <v>1216</v>
      </c>
      <c r="H33" s="1">
        <v>41100</v>
      </c>
      <c r="I33" s="2">
        <v>42218</v>
      </c>
      <c r="J33" s="2">
        <v>0</v>
      </c>
      <c r="K33" s="1">
        <v>0</v>
      </c>
      <c r="L33" s="2">
        <v>1250</v>
      </c>
      <c r="M33" s="1">
        <v>0</v>
      </c>
      <c r="N33" s="1" t="s">
        <v>50</v>
      </c>
      <c r="O33" s="3" t="s">
        <v>50</v>
      </c>
      <c r="P33" s="3" t="s">
        <v>47</v>
      </c>
      <c r="Q33" s="4" t="s">
        <v>29</v>
      </c>
    </row>
    <row r="34" spans="1:17" ht="61.5" x14ac:dyDescent="0.35">
      <c r="A34" s="1">
        <v>33</v>
      </c>
      <c r="B34" s="1">
        <v>1.0249999999999999</v>
      </c>
      <c r="C34" s="1">
        <v>0</v>
      </c>
      <c r="D34" s="1" t="s">
        <v>51</v>
      </c>
      <c r="E34" s="3" t="s">
        <v>47</v>
      </c>
      <c r="F34" s="1">
        <v>0</v>
      </c>
      <c r="G34" s="2">
        <v>1216</v>
      </c>
      <c r="H34" s="1">
        <v>41100</v>
      </c>
      <c r="I34" s="2">
        <v>42200</v>
      </c>
      <c r="J34" s="2">
        <v>0</v>
      </c>
      <c r="K34" s="1">
        <v>0</v>
      </c>
      <c r="L34" s="2">
        <v>1250</v>
      </c>
      <c r="M34" s="1">
        <v>0</v>
      </c>
      <c r="N34" s="1" t="s">
        <v>50</v>
      </c>
      <c r="O34" s="3" t="s">
        <v>50</v>
      </c>
      <c r="P34" s="3" t="s">
        <v>47</v>
      </c>
      <c r="Q34" s="4" t="s">
        <v>29</v>
      </c>
    </row>
    <row r="35" spans="1:17" ht="61.5" x14ac:dyDescent="0.35">
      <c r="A35" s="1">
        <v>34</v>
      </c>
      <c r="B35" s="1">
        <v>0.97499999999999998</v>
      </c>
      <c r="C35" s="1">
        <v>0</v>
      </c>
      <c r="D35" s="1" t="s">
        <v>52</v>
      </c>
      <c r="E35" s="3" t="s">
        <v>47</v>
      </c>
      <c r="F35" s="1">
        <v>0</v>
      </c>
      <c r="G35" s="2">
        <v>1100</v>
      </c>
      <c r="H35" s="1">
        <v>-25625</v>
      </c>
      <c r="I35" s="2">
        <v>-26263</v>
      </c>
      <c r="J35" s="2">
        <v>0</v>
      </c>
      <c r="K35" s="1">
        <v>0</v>
      </c>
      <c r="L35" s="2">
        <v>-800</v>
      </c>
      <c r="M35" s="1">
        <v>0</v>
      </c>
      <c r="N35" s="1" t="s">
        <v>50</v>
      </c>
      <c r="O35" s="3" t="s">
        <v>50</v>
      </c>
      <c r="P35" s="3" t="s">
        <v>47</v>
      </c>
      <c r="Q35" s="4" t="s">
        <v>29</v>
      </c>
    </row>
    <row r="36" spans="1:17" ht="61.5" x14ac:dyDescent="0.35">
      <c r="A36" s="1">
        <v>35</v>
      </c>
      <c r="B36" s="1">
        <v>1</v>
      </c>
      <c r="C36" s="1">
        <v>0</v>
      </c>
      <c r="D36" s="1" t="s">
        <v>52</v>
      </c>
      <c r="E36" s="3" t="s">
        <v>47</v>
      </c>
      <c r="F36" s="1">
        <v>0</v>
      </c>
      <c r="G36" s="2">
        <v>1218</v>
      </c>
      <c r="H36" s="1">
        <v>-41100</v>
      </c>
      <c r="I36" s="2">
        <v>-41173</v>
      </c>
      <c r="J36" s="2">
        <v>0</v>
      </c>
      <c r="K36" s="1">
        <v>0</v>
      </c>
      <c r="L36" s="2">
        <v>-1225</v>
      </c>
      <c r="M36" s="1">
        <v>0</v>
      </c>
      <c r="N36" s="1" t="s">
        <v>50</v>
      </c>
      <c r="O36" s="3" t="s">
        <v>50</v>
      </c>
      <c r="P36" s="3" t="s">
        <v>47</v>
      </c>
      <c r="Q36" s="4" t="s">
        <v>29</v>
      </c>
    </row>
    <row r="37" spans="1:17" ht="61.5" x14ac:dyDescent="0.35">
      <c r="A37" s="1">
        <v>36</v>
      </c>
      <c r="B37" s="1">
        <v>1.0249999999999999</v>
      </c>
      <c r="C37" s="1">
        <v>0</v>
      </c>
      <c r="D37" s="1" t="s">
        <v>52</v>
      </c>
      <c r="E37" s="3" t="s">
        <v>47</v>
      </c>
      <c r="F37" s="1">
        <v>0</v>
      </c>
      <c r="G37" s="2">
        <v>1217</v>
      </c>
      <c r="H37" s="1">
        <v>-41100</v>
      </c>
      <c r="I37" s="2">
        <v>-41125</v>
      </c>
      <c r="J37" s="2">
        <v>0</v>
      </c>
      <c r="K37" s="1">
        <v>0</v>
      </c>
      <c r="L37" s="2">
        <v>-1225</v>
      </c>
      <c r="M37" s="1">
        <v>0</v>
      </c>
      <c r="N37" s="1" t="s">
        <v>50</v>
      </c>
      <c r="O37" s="3" t="s">
        <v>50</v>
      </c>
      <c r="P37" s="3" t="s">
        <v>47</v>
      </c>
      <c r="Q37" s="4" t="s">
        <v>29</v>
      </c>
    </row>
    <row r="38" spans="1:17" ht="61.5" x14ac:dyDescent="0.35">
      <c r="A38" s="1">
        <v>37</v>
      </c>
      <c r="B38" s="1">
        <v>1.0249999999999999</v>
      </c>
      <c r="C38" s="1">
        <v>0</v>
      </c>
      <c r="D38" s="1" t="s">
        <v>57</v>
      </c>
      <c r="E38" s="3" t="s">
        <v>47</v>
      </c>
      <c r="F38" s="1">
        <v>0</v>
      </c>
      <c r="G38" s="2">
        <v>1216</v>
      </c>
      <c r="H38" s="1">
        <v>41100</v>
      </c>
      <c r="I38" s="2">
        <v>42200</v>
      </c>
      <c r="J38" s="2">
        <v>0</v>
      </c>
      <c r="K38" s="1">
        <v>0</v>
      </c>
      <c r="L38" s="2">
        <v>1250</v>
      </c>
      <c r="M38" s="1">
        <v>0</v>
      </c>
      <c r="N38" s="1" t="s">
        <v>50</v>
      </c>
      <c r="O38" s="3" t="s">
        <v>50</v>
      </c>
      <c r="P38" s="3" t="s">
        <v>47</v>
      </c>
      <c r="Q38" s="4" t="s">
        <v>29</v>
      </c>
    </row>
    <row r="39" spans="1:17" ht="61.5" x14ac:dyDescent="0.35">
      <c r="A39" s="1">
        <v>38</v>
      </c>
      <c r="B39" s="1">
        <v>0.97499999999999998</v>
      </c>
      <c r="C39" s="1">
        <v>0</v>
      </c>
      <c r="D39" s="1" t="s">
        <v>58</v>
      </c>
      <c r="E39" s="3" t="s">
        <v>47</v>
      </c>
      <c r="F39" s="1">
        <v>0</v>
      </c>
      <c r="G39" s="2">
        <v>1100</v>
      </c>
      <c r="H39" s="1">
        <v>-25625</v>
      </c>
      <c r="I39" s="2">
        <v>-26263</v>
      </c>
      <c r="J39" s="2">
        <v>0</v>
      </c>
      <c r="K39" s="1">
        <v>0</v>
      </c>
      <c r="L39" s="2">
        <v>-800</v>
      </c>
      <c r="M39" s="1">
        <v>0</v>
      </c>
      <c r="N39" s="1" t="s">
        <v>50</v>
      </c>
      <c r="O39" s="3" t="s">
        <v>50</v>
      </c>
      <c r="P39" s="3" t="s">
        <v>47</v>
      </c>
      <c r="Q39" s="4" t="s">
        <v>29</v>
      </c>
    </row>
    <row r="40" spans="1:17" ht="61.5" x14ac:dyDescent="0.35">
      <c r="A40" s="1">
        <v>39</v>
      </c>
      <c r="B40" s="1">
        <v>1</v>
      </c>
      <c r="C40" s="1">
        <v>0</v>
      </c>
      <c r="D40" s="1" t="s">
        <v>59</v>
      </c>
      <c r="E40" s="3" t="s">
        <v>47</v>
      </c>
      <c r="F40" s="1">
        <v>0</v>
      </c>
      <c r="G40" s="2">
        <v>1218</v>
      </c>
      <c r="H40" s="1">
        <v>-41100</v>
      </c>
      <c r="I40" s="2">
        <v>-41173</v>
      </c>
      <c r="J40" s="2">
        <v>0</v>
      </c>
      <c r="K40" s="1">
        <v>0</v>
      </c>
      <c r="L40" s="2">
        <v>-1225</v>
      </c>
      <c r="M40" s="1">
        <v>0</v>
      </c>
      <c r="N40" s="1" t="s">
        <v>50</v>
      </c>
      <c r="O40" s="3" t="s">
        <v>50</v>
      </c>
      <c r="P40" s="3" t="s">
        <v>47</v>
      </c>
      <c r="Q40" s="4" t="s">
        <v>29</v>
      </c>
    </row>
    <row r="41" spans="1:17" ht="61.5" x14ac:dyDescent="0.35">
      <c r="A41" s="1">
        <v>40</v>
      </c>
      <c r="B41" s="1">
        <v>1.0249999999999999</v>
      </c>
      <c r="C41" s="1">
        <v>0</v>
      </c>
      <c r="D41" s="1" t="s">
        <v>60</v>
      </c>
      <c r="E41" s="3" t="s">
        <v>47</v>
      </c>
      <c r="F41" s="1">
        <v>0</v>
      </c>
      <c r="G41" s="2">
        <v>1217</v>
      </c>
      <c r="H41" s="1">
        <v>-41100</v>
      </c>
      <c r="I41" s="2">
        <v>-41125</v>
      </c>
      <c r="J41" s="2">
        <v>0</v>
      </c>
      <c r="K41" s="1">
        <v>0</v>
      </c>
      <c r="L41" s="2">
        <v>-1225</v>
      </c>
      <c r="M41" s="1">
        <v>0</v>
      </c>
      <c r="N41" s="1" t="s">
        <v>50</v>
      </c>
      <c r="O41" s="3" t="s">
        <v>50</v>
      </c>
      <c r="P41" s="3" t="s">
        <v>47</v>
      </c>
      <c r="Q41" s="4" t="s">
        <v>29</v>
      </c>
    </row>
  </sheetData>
  <pageMargins left="0.25" right="0.25" top="0.75" bottom="0.75" header="0.3" footer="0.3"/>
  <pageSetup scale="1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1"/>
  <sheetViews>
    <sheetView topLeftCell="A18" zoomScale="40" zoomScaleNormal="40" workbookViewId="0">
      <selection activeCell="D38" sqref="D38:D41"/>
    </sheetView>
  </sheetViews>
  <sheetFormatPr defaultColWidth="36.36328125" defaultRowHeight="14.5" x14ac:dyDescent="0.35"/>
  <cols>
    <col min="1" max="1" width="34.453125" bestFit="1" customWidth="1"/>
    <col min="2" max="2" width="31" bestFit="1" customWidth="1"/>
    <col min="3" max="3" width="46.36328125" customWidth="1"/>
    <col min="4" max="4" width="139.90625" bestFit="1" customWidth="1"/>
    <col min="5" max="5" width="37.1796875" customWidth="1"/>
    <col min="6" max="6" width="43.6328125" customWidth="1"/>
    <col min="7" max="7" width="43.54296875" customWidth="1"/>
    <col min="8" max="8" width="45.6328125" customWidth="1"/>
    <col min="9" max="9" width="44.453125" customWidth="1"/>
    <col min="10" max="10" width="36.1796875" bestFit="1" customWidth="1"/>
    <col min="11" max="11" width="39.453125" customWidth="1"/>
  </cols>
  <sheetData>
    <row r="1" spans="1:11" ht="336.5" customHeight="1" x14ac:dyDescent="0.35">
      <c r="A1" s="5" t="s">
        <v>6</v>
      </c>
      <c r="B1" s="5" t="s">
        <v>4</v>
      </c>
      <c r="C1" s="5" t="s">
        <v>5</v>
      </c>
      <c r="D1" s="5" t="s">
        <v>19</v>
      </c>
      <c r="E1" s="5" t="s">
        <v>7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28</v>
      </c>
    </row>
    <row r="2" spans="1:11" ht="61.5" x14ac:dyDescent="0.35">
      <c r="A2" s="7">
        <v>1</v>
      </c>
      <c r="B2" s="1">
        <v>0.97499999999999998</v>
      </c>
      <c r="C2" s="7">
        <v>1</v>
      </c>
      <c r="D2" s="1" t="s">
        <v>43</v>
      </c>
      <c r="E2" s="7" t="s">
        <v>10</v>
      </c>
      <c r="F2" s="7">
        <v>1.0609999999999999</v>
      </c>
      <c r="G2" s="7">
        <v>1.01</v>
      </c>
      <c r="H2" s="7">
        <v>1.0209999999999999</v>
      </c>
      <c r="I2" s="7">
        <v>1.01</v>
      </c>
      <c r="J2" s="8">
        <v>0</v>
      </c>
      <c r="K2" s="9" t="s">
        <v>29</v>
      </c>
    </row>
    <row r="3" spans="1:11" ht="61.5" x14ac:dyDescent="0.35">
      <c r="A3" s="7">
        <v>2</v>
      </c>
      <c r="B3" s="1">
        <v>0.97499999999999998</v>
      </c>
      <c r="C3" s="7">
        <v>1</v>
      </c>
      <c r="D3" s="1" t="s">
        <v>43</v>
      </c>
      <c r="E3" s="7" t="s">
        <v>11</v>
      </c>
      <c r="F3" s="7">
        <v>0.99299999999999999</v>
      </c>
      <c r="G3" s="7">
        <v>0.98699999999999999</v>
      </c>
      <c r="H3" s="7">
        <v>0.998</v>
      </c>
      <c r="I3" s="7">
        <v>0.99299999999999999</v>
      </c>
      <c r="J3" s="8">
        <v>4.3739130434782618</v>
      </c>
      <c r="K3" s="9" t="s">
        <v>29</v>
      </c>
    </row>
    <row r="4" spans="1:11" ht="61.5" x14ac:dyDescent="0.35">
      <c r="A4" s="7">
        <v>3</v>
      </c>
      <c r="B4" s="1">
        <v>1</v>
      </c>
      <c r="C4" s="7">
        <v>1</v>
      </c>
      <c r="D4" s="1" t="s">
        <v>43</v>
      </c>
      <c r="E4" s="7" t="s">
        <v>10</v>
      </c>
      <c r="F4" s="7">
        <v>1.0589999999999999</v>
      </c>
      <c r="G4" s="7">
        <v>1.008</v>
      </c>
      <c r="H4" s="7">
        <v>1.0189999999999999</v>
      </c>
      <c r="I4" s="7">
        <v>1.008</v>
      </c>
      <c r="J4" s="8">
        <v>-2.501449275362317</v>
      </c>
      <c r="K4" s="9" t="s">
        <v>29</v>
      </c>
    </row>
    <row r="5" spans="1:11" ht="61.5" x14ac:dyDescent="0.35">
      <c r="A5" s="7">
        <v>4</v>
      </c>
      <c r="B5" s="1">
        <v>1</v>
      </c>
      <c r="C5" s="7">
        <v>1</v>
      </c>
      <c r="D5" s="1" t="s">
        <v>43</v>
      </c>
      <c r="E5" s="7" t="s">
        <v>11</v>
      </c>
      <c r="F5" s="7">
        <v>0.996</v>
      </c>
      <c r="G5" s="7">
        <v>0.99</v>
      </c>
      <c r="H5" s="7">
        <v>1.0009999999999999</v>
      </c>
      <c r="I5" s="7">
        <v>0.996</v>
      </c>
      <c r="J5" s="8">
        <v>1.875362318840575</v>
      </c>
      <c r="K5" s="9" t="s">
        <v>29</v>
      </c>
    </row>
    <row r="6" spans="1:11" ht="61.5" x14ac:dyDescent="0.35">
      <c r="A6" s="7">
        <v>5</v>
      </c>
      <c r="B6" s="1">
        <v>1.0249999999999999</v>
      </c>
      <c r="C6" s="7">
        <v>1</v>
      </c>
      <c r="D6" s="1" t="s">
        <v>43</v>
      </c>
      <c r="E6" s="7" t="s">
        <v>10</v>
      </c>
      <c r="F6" s="7">
        <v>1.0669999999999999</v>
      </c>
      <c r="G6" s="7">
        <v>1.018</v>
      </c>
      <c r="H6" s="7">
        <v>1.0289999999999999</v>
      </c>
      <c r="I6" s="7">
        <v>1.018</v>
      </c>
      <c r="J6" s="8">
        <v>-3.7507246376811501</v>
      </c>
      <c r="K6" s="9" t="s">
        <v>29</v>
      </c>
    </row>
    <row r="7" spans="1:11" ht="61.5" x14ac:dyDescent="0.35">
      <c r="A7" s="7">
        <v>6</v>
      </c>
      <c r="B7" s="1">
        <v>1.0249999999999999</v>
      </c>
      <c r="C7" s="7">
        <v>1</v>
      </c>
      <c r="D7" s="1" t="s">
        <v>43</v>
      </c>
      <c r="E7" s="7" t="s">
        <v>11</v>
      </c>
      <c r="F7" s="7">
        <v>0.996</v>
      </c>
      <c r="G7" s="7">
        <v>0.99</v>
      </c>
      <c r="H7" s="7">
        <v>1.0009999999999999</v>
      </c>
      <c r="I7" s="7">
        <v>0.996</v>
      </c>
      <c r="J7" s="8">
        <v>-0.62608695652174229</v>
      </c>
      <c r="K7" s="9" t="s">
        <v>29</v>
      </c>
    </row>
    <row r="8" spans="1:11" ht="61.5" x14ac:dyDescent="0.35">
      <c r="A8" s="7">
        <v>7</v>
      </c>
      <c r="B8" s="1">
        <v>0.97499999999999998</v>
      </c>
      <c r="C8" s="7">
        <v>1</v>
      </c>
      <c r="D8" s="1" t="s">
        <v>44</v>
      </c>
      <c r="E8" s="7" t="s">
        <v>10</v>
      </c>
      <c r="F8" s="7">
        <v>1.0249999999999999</v>
      </c>
      <c r="G8" s="7">
        <v>1.01</v>
      </c>
      <c r="H8" s="7">
        <v>1.01</v>
      </c>
      <c r="I8" s="7">
        <v>1.01</v>
      </c>
      <c r="J8" s="8">
        <v>0</v>
      </c>
      <c r="K8" s="9" t="s">
        <v>29</v>
      </c>
    </row>
    <row r="9" spans="1:11" ht="61.5" x14ac:dyDescent="0.35">
      <c r="A9" s="7">
        <v>8</v>
      </c>
      <c r="B9" s="1">
        <v>0.97499999999999998</v>
      </c>
      <c r="C9" s="7">
        <v>1</v>
      </c>
      <c r="D9" s="1" t="s">
        <v>44</v>
      </c>
      <c r="E9" s="7" t="s">
        <v>11</v>
      </c>
      <c r="F9" s="7">
        <v>0.99399999999999999</v>
      </c>
      <c r="G9" s="7">
        <v>0.99</v>
      </c>
      <c r="H9" s="7">
        <v>0.99399999999999999</v>
      </c>
      <c r="I9" s="7">
        <v>0.99299999999999999</v>
      </c>
      <c r="J9" s="8">
        <v>4.3739130434782618</v>
      </c>
      <c r="K9" s="9" t="s">
        <v>29</v>
      </c>
    </row>
    <row r="10" spans="1:11" ht="61.5" x14ac:dyDescent="0.35">
      <c r="A10" s="7">
        <v>9</v>
      </c>
      <c r="B10" s="1">
        <v>1</v>
      </c>
      <c r="C10" s="7">
        <v>1</v>
      </c>
      <c r="D10" s="1" t="s">
        <v>44</v>
      </c>
      <c r="E10" s="7" t="s">
        <v>10</v>
      </c>
      <c r="F10" s="7">
        <v>1.0229999999999999</v>
      </c>
      <c r="G10" s="7">
        <v>1.008</v>
      </c>
      <c r="H10" s="7">
        <v>1.0089999999999999</v>
      </c>
      <c r="I10" s="7">
        <v>1.008</v>
      </c>
      <c r="J10" s="8">
        <v>-2.501449275362317</v>
      </c>
      <c r="K10" s="9" t="s">
        <v>29</v>
      </c>
    </row>
    <row r="11" spans="1:11" ht="61.5" x14ac:dyDescent="0.35">
      <c r="A11" s="7">
        <v>10</v>
      </c>
      <c r="B11" s="1">
        <v>1</v>
      </c>
      <c r="C11" s="7">
        <v>1</v>
      </c>
      <c r="D11" s="1" t="s">
        <v>44</v>
      </c>
      <c r="E11" s="7" t="s">
        <v>11</v>
      </c>
      <c r="F11" s="7">
        <v>0.996</v>
      </c>
      <c r="G11" s="7">
        <v>0.99199999999999999</v>
      </c>
      <c r="H11" s="7">
        <v>0.996</v>
      </c>
      <c r="I11" s="7">
        <v>0.995</v>
      </c>
      <c r="J11" s="8">
        <v>1.875362318840575</v>
      </c>
      <c r="K11" s="9" t="s">
        <v>29</v>
      </c>
    </row>
    <row r="12" spans="1:11" ht="61.5" x14ac:dyDescent="0.35">
      <c r="A12" s="7">
        <v>11</v>
      </c>
      <c r="B12" s="1">
        <v>1.0249999999999999</v>
      </c>
      <c r="C12" s="7">
        <v>1</v>
      </c>
      <c r="D12" s="1" t="s">
        <v>44</v>
      </c>
      <c r="E12" s="7" t="s">
        <v>10</v>
      </c>
      <c r="F12" s="7">
        <v>1.0329999999999999</v>
      </c>
      <c r="G12" s="7">
        <v>1.0189999999999999</v>
      </c>
      <c r="H12" s="7">
        <v>1.0189999999999999</v>
      </c>
      <c r="I12" s="7">
        <v>1.0189999999999999</v>
      </c>
      <c r="J12" s="8">
        <v>-3.7507246376811501</v>
      </c>
      <c r="K12" s="9" t="s">
        <v>29</v>
      </c>
    </row>
    <row r="13" spans="1:11" ht="61.5" x14ac:dyDescent="0.35">
      <c r="A13" s="7">
        <v>12</v>
      </c>
      <c r="B13" s="1">
        <v>1.0249999999999999</v>
      </c>
      <c r="C13" s="7">
        <v>1</v>
      </c>
      <c r="D13" s="1" t="s">
        <v>44</v>
      </c>
      <c r="E13" s="7" t="s">
        <v>11</v>
      </c>
      <c r="F13" s="7">
        <v>0.997</v>
      </c>
      <c r="G13" s="7">
        <v>0.99299999999999999</v>
      </c>
      <c r="H13" s="7">
        <v>0.997</v>
      </c>
      <c r="I13" s="7">
        <v>0.996</v>
      </c>
      <c r="J13" s="8">
        <v>-0.62608695652174229</v>
      </c>
      <c r="K13" s="9" t="s">
        <v>29</v>
      </c>
    </row>
    <row r="14" spans="1:11" ht="61.5" x14ac:dyDescent="0.35">
      <c r="A14" s="7">
        <v>13</v>
      </c>
      <c r="B14" s="1">
        <v>0.97499999999999998</v>
      </c>
      <c r="C14" s="7">
        <v>1</v>
      </c>
      <c r="D14" s="1" t="s">
        <v>45</v>
      </c>
      <c r="E14" s="7" t="s">
        <v>10</v>
      </c>
      <c r="F14" s="7">
        <v>1.0149999999999999</v>
      </c>
      <c r="G14" s="7">
        <v>1.006</v>
      </c>
      <c r="H14" s="7">
        <v>1.0069999999999999</v>
      </c>
      <c r="I14" s="7">
        <v>1.006</v>
      </c>
      <c r="J14" s="8">
        <v>0</v>
      </c>
      <c r="K14" s="9" t="s">
        <v>29</v>
      </c>
    </row>
    <row r="15" spans="1:11" ht="61.5" x14ac:dyDescent="0.35">
      <c r="A15" s="7">
        <v>14</v>
      </c>
      <c r="B15" s="1">
        <v>0.97499999999999998</v>
      </c>
      <c r="C15" s="7">
        <v>1</v>
      </c>
      <c r="D15" s="1" t="s">
        <v>45</v>
      </c>
      <c r="E15" s="7" t="s">
        <v>11</v>
      </c>
      <c r="F15" s="7">
        <v>0.99099999999999999</v>
      </c>
      <c r="G15" s="7">
        <v>0.98099999999999998</v>
      </c>
      <c r="H15" s="7">
        <v>0.99099999999999999</v>
      </c>
      <c r="I15" s="7">
        <v>0.99</v>
      </c>
      <c r="J15" s="8">
        <v>4.3739130434782618</v>
      </c>
      <c r="K15" s="9" t="s">
        <v>29</v>
      </c>
    </row>
    <row r="16" spans="1:11" ht="61.5" x14ac:dyDescent="0.35">
      <c r="A16" s="7">
        <v>15</v>
      </c>
      <c r="B16" s="1">
        <v>1</v>
      </c>
      <c r="C16" s="7">
        <v>1</v>
      </c>
      <c r="D16" s="1" t="s">
        <v>45</v>
      </c>
      <c r="E16" s="7" t="s">
        <v>10</v>
      </c>
      <c r="F16" s="7">
        <v>1.02</v>
      </c>
      <c r="G16" s="7">
        <v>1.012</v>
      </c>
      <c r="H16" s="7">
        <v>1.012</v>
      </c>
      <c r="I16" s="7">
        <v>1.012</v>
      </c>
      <c r="J16" s="8">
        <v>-1.875362318840575</v>
      </c>
      <c r="K16" s="9" t="s">
        <v>29</v>
      </c>
    </row>
    <row r="17" spans="1:11" ht="61.5" x14ac:dyDescent="0.35">
      <c r="A17" s="7">
        <v>16</v>
      </c>
      <c r="B17" s="1">
        <v>1</v>
      </c>
      <c r="C17" s="7">
        <v>1</v>
      </c>
      <c r="D17" s="1" t="s">
        <v>45</v>
      </c>
      <c r="E17" s="7" t="s">
        <v>11</v>
      </c>
      <c r="F17" s="7">
        <v>0.99199999999999999</v>
      </c>
      <c r="G17" s="7">
        <v>0.98099999999999998</v>
      </c>
      <c r="H17" s="7">
        <v>0.99199999999999999</v>
      </c>
      <c r="I17" s="7">
        <v>0.99099999999999999</v>
      </c>
      <c r="J17" s="8">
        <v>1.875362318840575</v>
      </c>
      <c r="K17" s="9" t="s">
        <v>29</v>
      </c>
    </row>
    <row r="18" spans="1:11" ht="61.5" x14ac:dyDescent="0.35">
      <c r="A18" s="7">
        <v>17</v>
      </c>
      <c r="B18" s="1">
        <v>1.0249999999999999</v>
      </c>
      <c r="C18" s="7">
        <v>1</v>
      </c>
      <c r="D18" s="1" t="s">
        <v>45</v>
      </c>
      <c r="E18" s="7" t="s">
        <v>10</v>
      </c>
      <c r="F18" s="7">
        <v>1.012</v>
      </c>
      <c r="G18" s="7">
        <v>0.997</v>
      </c>
      <c r="H18" s="7">
        <v>1.0029999999999999</v>
      </c>
      <c r="I18" s="7">
        <v>0.997</v>
      </c>
      <c r="J18" s="8">
        <v>-5.0000000000000044</v>
      </c>
      <c r="K18" s="9" t="s">
        <v>29</v>
      </c>
    </row>
    <row r="19" spans="1:11" ht="61.5" x14ac:dyDescent="0.35">
      <c r="A19" s="7">
        <v>18</v>
      </c>
      <c r="B19" s="1">
        <v>1.0249999999999999</v>
      </c>
      <c r="C19" s="7">
        <v>1</v>
      </c>
      <c r="D19" s="1" t="s">
        <v>45</v>
      </c>
      <c r="E19" s="7" t="s">
        <v>11</v>
      </c>
      <c r="F19" s="7">
        <v>0.99199999999999999</v>
      </c>
      <c r="G19" s="7">
        <v>0.98199999999999998</v>
      </c>
      <c r="H19" s="7">
        <v>0.99199999999999999</v>
      </c>
      <c r="I19" s="7">
        <v>0.99199999999999999</v>
      </c>
      <c r="J19" s="8">
        <v>-0.62608695652174229</v>
      </c>
      <c r="K19" s="9" t="s">
        <v>29</v>
      </c>
    </row>
    <row r="20" spans="1:11" ht="61.5" x14ac:dyDescent="0.35">
      <c r="A20" s="7">
        <v>19</v>
      </c>
      <c r="B20" s="1">
        <v>0.97499999999999998</v>
      </c>
      <c r="C20" s="7">
        <v>1</v>
      </c>
      <c r="D20" s="1" t="s">
        <v>30</v>
      </c>
      <c r="E20" s="7" t="s">
        <v>10</v>
      </c>
      <c r="F20" s="7">
        <v>1.087</v>
      </c>
      <c r="G20" s="7">
        <v>1.04</v>
      </c>
      <c r="H20" s="7">
        <v>1.036</v>
      </c>
      <c r="I20" s="7">
        <v>1.0249999999999999</v>
      </c>
      <c r="J20" s="8">
        <v>-2.501449275362317</v>
      </c>
      <c r="K20" s="9" t="s">
        <v>29</v>
      </c>
    </row>
    <row r="21" spans="1:11" ht="61.5" x14ac:dyDescent="0.35">
      <c r="A21" s="7">
        <v>20</v>
      </c>
      <c r="B21" s="1">
        <v>0.97499999999999998</v>
      </c>
      <c r="C21" s="7">
        <v>1</v>
      </c>
      <c r="D21" s="1" t="s">
        <v>30</v>
      </c>
      <c r="E21" s="7" t="s">
        <v>11</v>
      </c>
      <c r="F21" s="7">
        <v>0.997</v>
      </c>
      <c r="G21" s="7">
        <v>0.99</v>
      </c>
      <c r="H21" s="7">
        <v>0.996</v>
      </c>
      <c r="I21" s="7">
        <v>0.99099999999999999</v>
      </c>
      <c r="J21" s="8">
        <v>5.6260869565217462</v>
      </c>
      <c r="K21" s="9" t="s">
        <v>29</v>
      </c>
    </row>
    <row r="22" spans="1:11" ht="61.5" x14ac:dyDescent="0.35">
      <c r="A22" s="7">
        <v>21</v>
      </c>
      <c r="B22" s="1">
        <v>1</v>
      </c>
      <c r="C22" s="7">
        <v>1</v>
      </c>
      <c r="D22" s="1" t="s">
        <v>30</v>
      </c>
      <c r="E22" s="7" t="s">
        <v>10</v>
      </c>
      <c r="F22" s="7">
        <v>1.0900000000000001</v>
      </c>
      <c r="G22" s="7">
        <v>1.0429999999999999</v>
      </c>
      <c r="H22" s="7">
        <v>1.04</v>
      </c>
      <c r="I22" s="7">
        <v>1.028</v>
      </c>
      <c r="J22" s="8">
        <v>-4.3739130434782618</v>
      </c>
      <c r="K22" s="9" t="s">
        <v>29</v>
      </c>
    </row>
    <row r="23" spans="1:11" ht="61.5" x14ac:dyDescent="0.35">
      <c r="A23" s="7">
        <v>22</v>
      </c>
      <c r="B23" s="1">
        <v>1</v>
      </c>
      <c r="C23" s="7">
        <v>1</v>
      </c>
      <c r="D23" s="1" t="s">
        <v>30</v>
      </c>
      <c r="E23" s="7" t="s">
        <v>11</v>
      </c>
      <c r="F23" s="7">
        <v>0.998</v>
      </c>
      <c r="G23" s="7">
        <v>0.99099999999999999</v>
      </c>
      <c r="H23" s="7">
        <v>0.998</v>
      </c>
      <c r="I23" s="7">
        <v>0.99199999999999999</v>
      </c>
      <c r="J23" s="8">
        <v>3.1246376811594292</v>
      </c>
      <c r="K23" s="9" t="s">
        <v>29</v>
      </c>
    </row>
    <row r="24" spans="1:11" ht="61.5" x14ac:dyDescent="0.35">
      <c r="A24" s="7">
        <v>23</v>
      </c>
      <c r="B24" s="1">
        <v>1.0249999999999999</v>
      </c>
      <c r="C24" s="7">
        <v>1</v>
      </c>
      <c r="D24" s="1" t="s">
        <v>30</v>
      </c>
      <c r="E24" s="7" t="s">
        <v>10</v>
      </c>
      <c r="F24" s="7">
        <v>1.0900000000000001</v>
      </c>
      <c r="G24" s="7">
        <v>1.044</v>
      </c>
      <c r="H24" s="7">
        <v>1.0409999999999999</v>
      </c>
      <c r="I24" s="7">
        <v>1.03</v>
      </c>
      <c r="J24" s="8">
        <v>-6.2492753623188371</v>
      </c>
      <c r="K24" s="9" t="s">
        <v>29</v>
      </c>
    </row>
    <row r="25" spans="1:11" ht="61.5" x14ac:dyDescent="0.35">
      <c r="A25" s="7">
        <v>24</v>
      </c>
      <c r="B25" s="1">
        <v>1.0249999999999999</v>
      </c>
      <c r="C25" s="7">
        <v>1</v>
      </c>
      <c r="D25" s="1" t="s">
        <v>30</v>
      </c>
      <c r="E25" s="7" t="s">
        <v>11</v>
      </c>
      <c r="F25" s="7">
        <v>1</v>
      </c>
      <c r="G25" s="7">
        <v>0.99299999999999999</v>
      </c>
      <c r="H25" s="7">
        <v>1</v>
      </c>
      <c r="I25" s="7">
        <v>0.99399999999999999</v>
      </c>
      <c r="J25" s="8">
        <v>0.62608695652174229</v>
      </c>
      <c r="K25" s="9" t="s">
        <v>29</v>
      </c>
    </row>
    <row r="26" spans="1:11" ht="61.5" x14ac:dyDescent="0.35">
      <c r="A26" s="7">
        <v>25</v>
      </c>
      <c r="B26" s="1">
        <v>0.97499999999999998</v>
      </c>
      <c r="C26" s="7">
        <v>0</v>
      </c>
      <c r="D26" s="1" t="s">
        <v>53</v>
      </c>
      <c r="E26" s="7" t="s">
        <v>47</v>
      </c>
      <c r="F26" s="7">
        <v>0.999</v>
      </c>
      <c r="G26" s="7">
        <v>0.998</v>
      </c>
      <c r="H26" s="7">
        <v>1</v>
      </c>
      <c r="I26" s="7">
        <v>0.999</v>
      </c>
      <c r="J26" s="8">
        <v>2.498550724637687</v>
      </c>
      <c r="K26" s="9" t="s">
        <v>29</v>
      </c>
    </row>
    <row r="27" spans="1:11" ht="61.5" x14ac:dyDescent="0.35">
      <c r="A27" s="7">
        <v>26</v>
      </c>
      <c r="B27" s="1">
        <v>1</v>
      </c>
      <c r="C27" s="7">
        <v>0</v>
      </c>
      <c r="D27" s="1" t="s">
        <v>53</v>
      </c>
      <c r="E27" s="7" t="s">
        <v>47</v>
      </c>
      <c r="F27" s="7">
        <v>1</v>
      </c>
      <c r="G27" s="7">
        <v>0.999</v>
      </c>
      <c r="H27" s="7">
        <v>1</v>
      </c>
      <c r="I27" s="7">
        <v>1</v>
      </c>
      <c r="J27" s="8">
        <v>0</v>
      </c>
      <c r="K27" s="9" t="s">
        <v>29</v>
      </c>
    </row>
    <row r="28" spans="1:11" ht="61.5" x14ac:dyDescent="0.35">
      <c r="A28" s="7">
        <v>27</v>
      </c>
      <c r="B28" s="1">
        <v>1.0249999999999999</v>
      </c>
      <c r="C28" s="7">
        <v>0</v>
      </c>
      <c r="D28" s="1" t="s">
        <v>53</v>
      </c>
      <c r="E28" s="7" t="s">
        <v>47</v>
      </c>
      <c r="F28" s="7">
        <v>0.99299999999999999</v>
      </c>
      <c r="G28" s="7">
        <v>0.99199999999999999</v>
      </c>
      <c r="H28" s="7">
        <v>0.99299999999999999</v>
      </c>
      <c r="I28" s="7">
        <v>0.99299999999999999</v>
      </c>
      <c r="J28" s="8">
        <v>-3.1246376811594292</v>
      </c>
      <c r="K28" s="9" t="s">
        <v>29</v>
      </c>
    </row>
    <row r="29" spans="1:11" ht="61.5" x14ac:dyDescent="0.35">
      <c r="A29" s="7">
        <v>28</v>
      </c>
      <c r="B29" s="1">
        <v>0.97499999999999998</v>
      </c>
      <c r="C29" s="7">
        <v>0</v>
      </c>
      <c r="D29" s="1" t="s">
        <v>46</v>
      </c>
      <c r="E29" s="7" t="s">
        <v>47</v>
      </c>
      <c r="F29" s="7">
        <v>1.01</v>
      </c>
      <c r="G29" s="7">
        <v>0.997</v>
      </c>
      <c r="H29" s="7">
        <v>1.004</v>
      </c>
      <c r="I29" s="7">
        <v>0.997</v>
      </c>
      <c r="J29" s="8">
        <v>3.1246376811594292</v>
      </c>
      <c r="K29" s="9" t="s">
        <v>29</v>
      </c>
    </row>
    <row r="30" spans="1:11" ht="61.5" x14ac:dyDescent="0.35">
      <c r="A30" s="7">
        <v>29</v>
      </c>
      <c r="B30" s="1">
        <v>1</v>
      </c>
      <c r="C30" s="7">
        <v>0</v>
      </c>
      <c r="D30" s="1" t="s">
        <v>46</v>
      </c>
      <c r="E30" s="7" t="s">
        <v>47</v>
      </c>
      <c r="F30" s="7">
        <v>1.0109999999999999</v>
      </c>
      <c r="G30" s="7">
        <v>0.999</v>
      </c>
      <c r="H30" s="7">
        <v>1.0049999999999999</v>
      </c>
      <c r="I30" s="7">
        <v>0.999</v>
      </c>
      <c r="J30" s="8">
        <v>0.62608695652174229</v>
      </c>
      <c r="K30" s="9" t="s">
        <v>29</v>
      </c>
    </row>
    <row r="31" spans="1:11" ht="61.5" x14ac:dyDescent="0.35">
      <c r="A31" s="7">
        <v>30</v>
      </c>
      <c r="B31" s="1">
        <v>1.0249999999999999</v>
      </c>
      <c r="C31" s="7">
        <v>0</v>
      </c>
      <c r="D31" s="1" t="s">
        <v>46</v>
      </c>
      <c r="E31" s="7" t="s">
        <v>47</v>
      </c>
      <c r="F31" s="7">
        <v>1.0109999999999999</v>
      </c>
      <c r="G31" s="7">
        <v>0.999</v>
      </c>
      <c r="H31" s="7">
        <v>1.0049999999999999</v>
      </c>
      <c r="I31" s="7">
        <v>0.999</v>
      </c>
      <c r="J31" s="8">
        <v>-1.875362318840575</v>
      </c>
      <c r="K31" s="9" t="s">
        <v>29</v>
      </c>
    </row>
    <row r="32" spans="1:11" ht="61.5" x14ac:dyDescent="0.35">
      <c r="A32" s="7">
        <v>31</v>
      </c>
      <c r="B32" s="1">
        <v>0.97499999999999998</v>
      </c>
      <c r="C32" s="7">
        <v>0</v>
      </c>
      <c r="D32" s="1" t="s">
        <v>51</v>
      </c>
      <c r="E32" s="7" t="s">
        <v>47</v>
      </c>
      <c r="F32" s="7"/>
      <c r="G32" s="7"/>
      <c r="H32" s="7"/>
      <c r="I32" s="7"/>
      <c r="J32" s="8"/>
      <c r="K32" s="9" t="s">
        <v>29</v>
      </c>
    </row>
    <row r="33" spans="1:11" ht="61.5" x14ac:dyDescent="0.35">
      <c r="A33" s="7">
        <v>32</v>
      </c>
      <c r="B33" s="1">
        <v>1</v>
      </c>
      <c r="C33" s="7">
        <v>0</v>
      </c>
      <c r="D33" s="1" t="s">
        <v>51</v>
      </c>
      <c r="E33" s="7" t="s">
        <v>47</v>
      </c>
      <c r="F33" s="7"/>
      <c r="G33" s="7"/>
      <c r="H33" s="7"/>
      <c r="I33" s="7"/>
      <c r="J33" s="8"/>
      <c r="K33" s="9" t="s">
        <v>29</v>
      </c>
    </row>
    <row r="34" spans="1:11" ht="61.5" x14ac:dyDescent="0.35">
      <c r="A34" s="7">
        <v>33</v>
      </c>
      <c r="B34" s="1">
        <v>1.0249999999999999</v>
      </c>
      <c r="C34" s="7">
        <v>0</v>
      </c>
      <c r="D34" s="1" t="s">
        <v>51</v>
      </c>
      <c r="E34" s="7" t="s">
        <v>47</v>
      </c>
      <c r="F34" s="7"/>
      <c r="G34" s="7"/>
      <c r="H34" s="7"/>
      <c r="I34" s="7"/>
      <c r="J34" s="8"/>
      <c r="K34" s="9" t="s">
        <v>29</v>
      </c>
    </row>
    <row r="35" spans="1:11" ht="61.5" x14ac:dyDescent="0.35">
      <c r="A35" s="7">
        <v>34</v>
      </c>
      <c r="B35" s="1">
        <v>0.97499999999999998</v>
      </c>
      <c r="C35" s="7">
        <v>0</v>
      </c>
      <c r="D35" s="1" t="s">
        <v>52</v>
      </c>
      <c r="E35" s="7" t="s">
        <v>47</v>
      </c>
      <c r="F35" s="7"/>
      <c r="G35" s="7"/>
      <c r="H35" s="7"/>
      <c r="I35" s="7"/>
      <c r="J35" s="8"/>
      <c r="K35" s="9" t="s">
        <v>29</v>
      </c>
    </row>
    <row r="36" spans="1:11" ht="61.5" x14ac:dyDescent="0.35">
      <c r="A36" s="7">
        <v>35</v>
      </c>
      <c r="B36" s="1">
        <v>1</v>
      </c>
      <c r="C36" s="7">
        <v>0</v>
      </c>
      <c r="D36" s="1" t="s">
        <v>52</v>
      </c>
      <c r="E36" s="7" t="s">
        <v>47</v>
      </c>
      <c r="F36" s="7"/>
      <c r="G36" s="7"/>
      <c r="H36" s="7"/>
      <c r="I36" s="7"/>
      <c r="J36" s="8"/>
      <c r="K36" s="9" t="s">
        <v>29</v>
      </c>
    </row>
    <row r="37" spans="1:11" ht="61.5" x14ac:dyDescent="0.35">
      <c r="A37" s="7">
        <v>36</v>
      </c>
      <c r="B37" s="1">
        <v>1.0249999999999999</v>
      </c>
      <c r="C37" s="7">
        <v>0</v>
      </c>
      <c r="D37" s="1" t="s">
        <v>52</v>
      </c>
      <c r="E37" s="7" t="s">
        <v>47</v>
      </c>
      <c r="F37" s="7"/>
      <c r="G37" s="7"/>
      <c r="H37" s="7"/>
      <c r="I37" s="7"/>
      <c r="J37" s="8"/>
      <c r="K37" s="9" t="s">
        <v>29</v>
      </c>
    </row>
    <row r="38" spans="1:11" ht="61.5" x14ac:dyDescent="0.35">
      <c r="A38" s="7">
        <v>37</v>
      </c>
      <c r="B38" s="1">
        <v>1.0249999999999999</v>
      </c>
      <c r="C38" s="7">
        <v>0</v>
      </c>
      <c r="D38" s="1" t="s">
        <v>57</v>
      </c>
      <c r="E38" s="7" t="s">
        <v>47</v>
      </c>
      <c r="F38" s="7"/>
      <c r="G38" s="7"/>
      <c r="H38" s="7"/>
      <c r="I38" s="7"/>
      <c r="J38" s="8"/>
      <c r="K38" s="9" t="s">
        <v>29</v>
      </c>
    </row>
    <row r="39" spans="1:11" ht="61.5" x14ac:dyDescent="0.35">
      <c r="A39" s="7">
        <v>38</v>
      </c>
      <c r="B39" s="1">
        <v>0.97499999999999998</v>
      </c>
      <c r="C39" s="7">
        <v>0</v>
      </c>
      <c r="D39" s="1" t="s">
        <v>58</v>
      </c>
      <c r="E39" s="7" t="s">
        <v>47</v>
      </c>
      <c r="F39" s="7"/>
      <c r="G39" s="7"/>
      <c r="H39" s="7"/>
      <c r="I39" s="7"/>
      <c r="J39" s="8"/>
      <c r="K39" s="9" t="s">
        <v>29</v>
      </c>
    </row>
    <row r="40" spans="1:11" ht="61.5" x14ac:dyDescent="0.35">
      <c r="A40" s="7">
        <v>39</v>
      </c>
      <c r="B40" s="1">
        <v>1</v>
      </c>
      <c r="C40" s="7">
        <v>0</v>
      </c>
      <c r="D40" s="1" t="s">
        <v>59</v>
      </c>
      <c r="E40" s="7" t="s">
        <v>47</v>
      </c>
      <c r="F40" s="7"/>
      <c r="G40" s="7"/>
      <c r="H40" s="7"/>
      <c r="I40" s="7"/>
      <c r="J40" s="8"/>
      <c r="K40" s="9" t="s">
        <v>29</v>
      </c>
    </row>
    <row r="41" spans="1:11" ht="61.5" x14ac:dyDescent="0.35">
      <c r="A41" s="7">
        <v>40</v>
      </c>
      <c r="B41" s="1">
        <v>1.0249999999999999</v>
      </c>
      <c r="C41" s="7">
        <v>0</v>
      </c>
      <c r="D41" s="1" t="s">
        <v>60</v>
      </c>
      <c r="E41" s="7" t="s">
        <v>47</v>
      </c>
      <c r="F41" s="7"/>
      <c r="G41" s="7"/>
      <c r="H41" s="7"/>
      <c r="I41" s="7"/>
      <c r="J41" s="8"/>
      <c r="K41" s="9" t="s">
        <v>29</v>
      </c>
    </row>
  </sheetData>
  <pageMargins left="0.25" right="0.25" top="0.75" bottom="0.75" header="0.3" footer="0.3"/>
  <pageSetup scale="2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41"/>
  <sheetViews>
    <sheetView tabSelected="1" topLeftCell="A2" zoomScale="25" zoomScaleNormal="25" workbookViewId="0">
      <selection activeCell="D52" sqref="D52"/>
    </sheetView>
  </sheetViews>
  <sheetFormatPr defaultColWidth="8.81640625" defaultRowHeight="14.5" x14ac:dyDescent="0.35"/>
  <cols>
    <col min="1" max="1" width="34.1796875" style="6" customWidth="1"/>
    <col min="2" max="2" width="33.1796875" style="6" customWidth="1"/>
    <col min="3" max="3" width="47.54296875" style="6" customWidth="1"/>
    <col min="4" max="4" width="138" style="6" customWidth="1"/>
    <col min="5" max="5" width="40.08984375" style="6" customWidth="1"/>
    <col min="6" max="6" width="37.453125" style="6" customWidth="1"/>
    <col min="7" max="7" width="38.6328125" style="6" customWidth="1"/>
    <col min="8" max="8" width="42.1796875" style="6" customWidth="1"/>
    <col min="9" max="9" width="31.54296875" style="6" customWidth="1"/>
    <col min="10" max="10" width="33.6328125" style="6" customWidth="1"/>
    <col min="11" max="11" width="44.6328125" style="6" customWidth="1"/>
    <col min="12" max="14" width="47.81640625" style="6" customWidth="1"/>
    <col min="15" max="15" width="45.08984375" style="6" customWidth="1"/>
    <col min="16" max="16384" width="8.81640625" style="6"/>
  </cols>
  <sheetData>
    <row r="1" spans="1:15" ht="307.5" x14ac:dyDescent="0.35">
      <c r="A1" s="5" t="s">
        <v>6</v>
      </c>
      <c r="B1" s="5" t="s">
        <v>4</v>
      </c>
      <c r="C1" s="5" t="s">
        <v>5</v>
      </c>
      <c r="D1" s="5" t="s">
        <v>19</v>
      </c>
      <c r="E1" s="5" t="s">
        <v>7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  <c r="L1" s="5" t="s">
        <v>42</v>
      </c>
      <c r="M1" s="5" t="s">
        <v>55</v>
      </c>
      <c r="N1" s="5" t="s">
        <v>56</v>
      </c>
      <c r="O1" s="5" t="s">
        <v>28</v>
      </c>
    </row>
    <row r="2" spans="1:15" ht="61.5" x14ac:dyDescent="0.35">
      <c r="A2" s="1">
        <v>1</v>
      </c>
      <c r="B2" s="1">
        <v>0.97499999999999998</v>
      </c>
      <c r="C2" s="1">
        <v>1</v>
      </c>
      <c r="D2" s="1" t="s">
        <v>43</v>
      </c>
      <c r="E2" s="1" t="s">
        <v>10</v>
      </c>
      <c r="F2" s="1">
        <v>1134.4000000000001</v>
      </c>
      <c r="G2" s="1">
        <v>1138.3</v>
      </c>
      <c r="H2" s="1">
        <v>2510.1999999999998</v>
      </c>
      <c r="I2" s="1">
        <v>3598.4</v>
      </c>
      <c r="J2" s="1">
        <v>0</v>
      </c>
      <c r="K2" s="1">
        <v>3938.5</v>
      </c>
      <c r="L2" s="1">
        <v>7649.9</v>
      </c>
      <c r="M2" s="3">
        <f>F2/H2*100</f>
        <v>45.191618197753172</v>
      </c>
      <c r="N2" s="3">
        <f>G2/H2*100</f>
        <v>45.346984304039523</v>
      </c>
      <c r="O2" s="4" t="s">
        <v>29</v>
      </c>
    </row>
    <row r="3" spans="1:15" ht="61.5" x14ac:dyDescent="0.35">
      <c r="A3" s="1">
        <v>2</v>
      </c>
      <c r="B3" s="1">
        <v>0.97499999999999998</v>
      </c>
      <c r="C3" s="1">
        <v>1</v>
      </c>
      <c r="D3" s="1" t="s">
        <v>43</v>
      </c>
      <c r="E3" s="1" t="s">
        <v>11</v>
      </c>
      <c r="F3" s="1">
        <v>1090.3</v>
      </c>
      <c r="G3" s="1">
        <v>1090.5999999999999</v>
      </c>
      <c r="H3" s="1">
        <v>2510.1999999999998</v>
      </c>
      <c r="I3" s="1">
        <v>3480.2</v>
      </c>
      <c r="J3" s="1">
        <v>0</v>
      </c>
      <c r="K3" s="1">
        <v>3938.5</v>
      </c>
      <c r="L3" s="1">
        <v>7649.9</v>
      </c>
      <c r="M3" s="3">
        <f t="shared" ref="M3:M37" si="0">F3/H3*100</f>
        <v>43.434786072822881</v>
      </c>
      <c r="N3" s="3">
        <f t="shared" ref="N3:N37" si="1">G3/H3*100</f>
        <v>43.446737311767983</v>
      </c>
      <c r="O3" s="4" t="s">
        <v>29</v>
      </c>
    </row>
    <row r="4" spans="1:15" ht="61.5" x14ac:dyDescent="0.35">
      <c r="A4" s="1">
        <v>3</v>
      </c>
      <c r="B4" s="1">
        <v>1</v>
      </c>
      <c r="C4" s="1">
        <v>1</v>
      </c>
      <c r="D4" s="1" t="s">
        <v>43</v>
      </c>
      <c r="E4" s="1" t="s">
        <v>10</v>
      </c>
      <c r="F4" s="1">
        <v>1133.9000000000001</v>
      </c>
      <c r="G4" s="1">
        <v>1137.8</v>
      </c>
      <c r="H4" s="1">
        <v>2510.1999999999998</v>
      </c>
      <c r="I4" s="1">
        <v>3597.1</v>
      </c>
      <c r="J4" s="1">
        <v>0</v>
      </c>
      <c r="K4" s="1">
        <v>3938.5</v>
      </c>
      <c r="L4" s="1">
        <v>7649.9</v>
      </c>
      <c r="M4" s="3">
        <f t="shared" si="0"/>
        <v>45.171699466177998</v>
      </c>
      <c r="N4" s="3">
        <f t="shared" si="1"/>
        <v>45.327065572464349</v>
      </c>
      <c r="O4" s="4" t="s">
        <v>29</v>
      </c>
    </row>
    <row r="5" spans="1:15" ht="61.5" x14ac:dyDescent="0.35">
      <c r="A5" s="1">
        <v>4</v>
      </c>
      <c r="B5" s="1">
        <v>1</v>
      </c>
      <c r="C5" s="1">
        <v>1</v>
      </c>
      <c r="D5" s="1" t="s">
        <v>43</v>
      </c>
      <c r="E5" s="1" t="s">
        <v>11</v>
      </c>
      <c r="F5" s="1">
        <v>1085.5999999999999</v>
      </c>
      <c r="G5" s="1">
        <v>1087.0999999999999</v>
      </c>
      <c r="H5" s="1">
        <v>2510.1999999999998</v>
      </c>
      <c r="I5" s="1">
        <v>3464.6</v>
      </c>
      <c r="J5" s="1">
        <v>0</v>
      </c>
      <c r="K5" s="1">
        <v>3938.5</v>
      </c>
      <c r="L5" s="1">
        <v>7649.9</v>
      </c>
      <c r="M5" s="3">
        <f t="shared" si="0"/>
        <v>43.247549996016254</v>
      </c>
      <c r="N5" s="3">
        <f t="shared" si="1"/>
        <v>43.307306190741777</v>
      </c>
      <c r="O5" s="4" t="s">
        <v>29</v>
      </c>
    </row>
    <row r="6" spans="1:15" ht="61.5" x14ac:dyDescent="0.35">
      <c r="A6" s="1">
        <v>5</v>
      </c>
      <c r="B6" s="1">
        <v>1.0249999999999999</v>
      </c>
      <c r="C6" s="1">
        <v>1</v>
      </c>
      <c r="D6" s="1" t="s">
        <v>43</v>
      </c>
      <c r="E6" s="1" t="s">
        <v>10</v>
      </c>
      <c r="F6" s="1">
        <v>1118.2</v>
      </c>
      <c r="G6" s="1">
        <v>1123.5</v>
      </c>
      <c r="H6" s="1">
        <v>2510.1999999999998</v>
      </c>
      <c r="I6" s="1">
        <v>3546.5</v>
      </c>
      <c r="J6" s="1">
        <v>0</v>
      </c>
      <c r="K6" s="1">
        <v>3938.5</v>
      </c>
      <c r="L6" s="1">
        <v>7649.9</v>
      </c>
      <c r="M6" s="3">
        <f t="shared" si="0"/>
        <v>44.546251294717557</v>
      </c>
      <c r="N6" s="3">
        <f t="shared" si="1"/>
        <v>44.757389849414395</v>
      </c>
      <c r="O6" s="4" t="s">
        <v>29</v>
      </c>
    </row>
    <row r="7" spans="1:15" ht="61.5" x14ac:dyDescent="0.35">
      <c r="A7" s="1">
        <v>6</v>
      </c>
      <c r="B7" s="1">
        <v>1.0249999999999999</v>
      </c>
      <c r="C7" s="1">
        <v>1</v>
      </c>
      <c r="D7" s="1" t="s">
        <v>43</v>
      </c>
      <c r="E7" s="1" t="s">
        <v>11</v>
      </c>
      <c r="F7" s="1">
        <v>1087.0999999999999</v>
      </c>
      <c r="G7" s="1">
        <v>1087.4000000000001</v>
      </c>
      <c r="H7" s="1">
        <v>2510.1999999999998</v>
      </c>
      <c r="I7" s="1">
        <v>3469.5</v>
      </c>
      <c r="J7" s="1">
        <v>0</v>
      </c>
      <c r="K7" s="1">
        <v>3938.5</v>
      </c>
      <c r="L7" s="1">
        <v>7649.9</v>
      </c>
      <c r="M7" s="3">
        <f t="shared" si="0"/>
        <v>43.307306190741777</v>
      </c>
      <c r="N7" s="3">
        <f t="shared" si="1"/>
        <v>43.319257429686886</v>
      </c>
      <c r="O7" s="4" t="s">
        <v>29</v>
      </c>
    </row>
    <row r="8" spans="1:15" ht="61.5" x14ac:dyDescent="0.35">
      <c r="A8" s="1">
        <v>7</v>
      </c>
      <c r="B8" s="1">
        <v>0.97499999999999998</v>
      </c>
      <c r="C8" s="1">
        <v>1</v>
      </c>
      <c r="D8" s="1" t="s">
        <v>44</v>
      </c>
      <c r="E8" s="1" t="s">
        <v>10</v>
      </c>
      <c r="F8" s="1">
        <v>1136.8</v>
      </c>
      <c r="G8" s="1">
        <v>1139.9000000000001</v>
      </c>
      <c r="H8" s="1">
        <v>2510.1999999999998</v>
      </c>
      <c r="I8" s="1">
        <v>0</v>
      </c>
      <c r="J8" s="1">
        <v>2561.5</v>
      </c>
      <c r="K8" s="1">
        <v>3938.5</v>
      </c>
      <c r="L8" s="1">
        <v>7649.9</v>
      </c>
      <c r="M8" s="3">
        <f t="shared" si="0"/>
        <v>45.287228109314</v>
      </c>
      <c r="N8" s="3">
        <f t="shared" si="1"/>
        <v>45.410724245080083</v>
      </c>
      <c r="O8" s="4" t="s">
        <v>29</v>
      </c>
    </row>
    <row r="9" spans="1:15" ht="61.5" x14ac:dyDescent="0.35">
      <c r="A9" s="1">
        <v>8</v>
      </c>
      <c r="B9" s="1">
        <v>0.97499999999999998</v>
      </c>
      <c r="C9" s="1">
        <v>1</v>
      </c>
      <c r="D9" s="1" t="s">
        <v>44</v>
      </c>
      <c r="E9" s="1" t="s">
        <v>11</v>
      </c>
      <c r="F9" s="1">
        <v>1091.0999999999999</v>
      </c>
      <c r="G9" s="1">
        <v>1091.7</v>
      </c>
      <c r="H9" s="1">
        <v>2510.1999999999998</v>
      </c>
      <c r="I9" s="1">
        <v>0</v>
      </c>
      <c r="J9" s="1">
        <v>2478.6999999999998</v>
      </c>
      <c r="K9" s="1">
        <v>3938.5</v>
      </c>
      <c r="L9" s="1">
        <v>7649.9</v>
      </c>
      <c r="M9" s="3">
        <f t="shared" si="0"/>
        <v>43.466656043343157</v>
      </c>
      <c r="N9" s="3">
        <f t="shared" si="1"/>
        <v>43.490558521233375</v>
      </c>
      <c r="O9" s="4" t="s">
        <v>29</v>
      </c>
    </row>
    <row r="10" spans="1:15" ht="61.5" x14ac:dyDescent="0.35">
      <c r="A10" s="1">
        <v>9</v>
      </c>
      <c r="B10" s="1">
        <v>1</v>
      </c>
      <c r="C10" s="1">
        <v>1</v>
      </c>
      <c r="D10" s="1" t="s">
        <v>44</v>
      </c>
      <c r="E10" s="1" t="s">
        <v>10</v>
      </c>
      <c r="F10" s="1">
        <v>1136.4000000000001</v>
      </c>
      <c r="G10" s="1">
        <v>1139.5</v>
      </c>
      <c r="H10" s="1">
        <v>2510.1999999999998</v>
      </c>
      <c r="I10" s="1">
        <v>0</v>
      </c>
      <c r="J10" s="1">
        <v>2560.6999999999998</v>
      </c>
      <c r="K10" s="1">
        <v>3938.5</v>
      </c>
      <c r="L10" s="1">
        <v>7649.9</v>
      </c>
      <c r="M10" s="3">
        <f t="shared" si="0"/>
        <v>45.271293124053869</v>
      </c>
      <c r="N10" s="3">
        <f t="shared" si="1"/>
        <v>45.394789259819937</v>
      </c>
      <c r="O10" s="4" t="s">
        <v>29</v>
      </c>
    </row>
    <row r="11" spans="1:15" ht="61.5" x14ac:dyDescent="0.35">
      <c r="A11" s="1">
        <v>10</v>
      </c>
      <c r="B11" s="1">
        <v>1</v>
      </c>
      <c r="C11" s="1">
        <v>1</v>
      </c>
      <c r="D11" s="1" t="s">
        <v>44</v>
      </c>
      <c r="E11" s="1" t="s">
        <v>11</v>
      </c>
      <c r="F11" s="1">
        <v>1088.5</v>
      </c>
      <c r="G11" s="1">
        <v>1089.0999999999999</v>
      </c>
      <c r="H11" s="1">
        <v>2510.1999999999998</v>
      </c>
      <c r="I11" s="1">
        <v>0</v>
      </c>
      <c r="J11" s="1">
        <v>2473.4</v>
      </c>
      <c r="K11" s="1">
        <v>3938.5</v>
      </c>
      <c r="L11" s="1">
        <v>7649.9</v>
      </c>
      <c r="M11" s="3">
        <f t="shared" si="0"/>
        <v>43.363078639152263</v>
      </c>
      <c r="N11" s="3">
        <f t="shared" si="1"/>
        <v>43.386981117042467</v>
      </c>
      <c r="O11" s="4" t="s">
        <v>29</v>
      </c>
    </row>
    <row r="12" spans="1:15" ht="61.5" x14ac:dyDescent="0.35">
      <c r="A12" s="1">
        <v>11</v>
      </c>
      <c r="B12" s="1">
        <v>1.0249999999999999</v>
      </c>
      <c r="C12" s="1">
        <v>1</v>
      </c>
      <c r="D12" s="1" t="s">
        <v>44</v>
      </c>
      <c r="E12" s="1" t="s">
        <v>10</v>
      </c>
      <c r="F12" s="1">
        <v>1123.4000000000001</v>
      </c>
      <c r="G12" s="1">
        <v>1126.4000000000001</v>
      </c>
      <c r="H12" s="1">
        <v>2510.1999999999998</v>
      </c>
      <c r="I12" s="1">
        <v>0</v>
      </c>
      <c r="J12" s="1">
        <v>2530.8000000000002</v>
      </c>
      <c r="K12" s="1">
        <v>3938.5</v>
      </c>
      <c r="L12" s="1">
        <v>7649.9</v>
      </c>
      <c r="M12" s="3">
        <f t="shared" si="0"/>
        <v>44.753406103099366</v>
      </c>
      <c r="N12" s="3">
        <f t="shared" si="1"/>
        <v>44.872918492550404</v>
      </c>
      <c r="O12" s="4" t="s">
        <v>29</v>
      </c>
    </row>
    <row r="13" spans="1:15" ht="61.5" x14ac:dyDescent="0.35">
      <c r="A13" s="1">
        <v>12</v>
      </c>
      <c r="B13" s="1">
        <v>1.0249999999999999</v>
      </c>
      <c r="C13" s="1">
        <v>1</v>
      </c>
      <c r="D13" s="1" t="s">
        <v>44</v>
      </c>
      <c r="E13" s="1" t="s">
        <v>11</v>
      </c>
      <c r="F13" s="1">
        <v>1087.5999999999999</v>
      </c>
      <c r="G13" s="1">
        <v>1088.2</v>
      </c>
      <c r="H13" s="1">
        <v>2510.1999999999998</v>
      </c>
      <c r="I13" s="1">
        <v>0</v>
      </c>
      <c r="J13" s="1">
        <v>2471.4</v>
      </c>
      <c r="K13" s="1">
        <v>3938.5</v>
      </c>
      <c r="L13" s="1">
        <v>7649.9</v>
      </c>
      <c r="M13" s="3">
        <f t="shared" si="0"/>
        <v>43.327224922316951</v>
      </c>
      <c r="N13" s="3">
        <f t="shared" si="1"/>
        <v>43.351127400207162</v>
      </c>
      <c r="O13" s="4" t="s">
        <v>29</v>
      </c>
    </row>
    <row r="14" spans="1:15" ht="61.5" x14ac:dyDescent="0.35">
      <c r="A14" s="1">
        <v>13</v>
      </c>
      <c r="B14" s="1">
        <v>0.97499999999999998</v>
      </c>
      <c r="C14" s="1">
        <v>1</v>
      </c>
      <c r="D14" s="1" t="s">
        <v>45</v>
      </c>
      <c r="E14" s="1" t="s">
        <v>10</v>
      </c>
      <c r="F14" s="1">
        <v>1138.5</v>
      </c>
      <c r="G14" s="1">
        <v>1138</v>
      </c>
      <c r="H14" s="1">
        <v>2510.1999999999998</v>
      </c>
      <c r="I14" s="1">
        <v>0</v>
      </c>
      <c r="J14" s="1">
        <v>2525.4</v>
      </c>
      <c r="K14" s="1">
        <v>3938.5</v>
      </c>
      <c r="L14" s="1">
        <v>7649.9</v>
      </c>
      <c r="M14" s="3">
        <f t="shared" si="0"/>
        <v>45.354951796669589</v>
      </c>
      <c r="N14" s="3">
        <f t="shared" si="1"/>
        <v>45.335033065094414</v>
      </c>
      <c r="O14" s="4" t="s">
        <v>29</v>
      </c>
    </row>
    <row r="15" spans="1:15" ht="61.5" x14ac:dyDescent="0.35">
      <c r="A15" s="1">
        <v>14</v>
      </c>
      <c r="B15" s="1">
        <v>0.97499999999999998</v>
      </c>
      <c r="C15" s="1">
        <v>1</v>
      </c>
      <c r="D15" s="1" t="s">
        <v>45</v>
      </c>
      <c r="E15" s="1" t="s">
        <v>11</v>
      </c>
      <c r="F15" s="1">
        <v>1087.9000000000001</v>
      </c>
      <c r="G15" s="1">
        <v>1084.5999999999999</v>
      </c>
      <c r="H15" s="1">
        <v>2510.1999999999998</v>
      </c>
      <c r="I15" s="1">
        <v>0</v>
      </c>
      <c r="J15" s="1">
        <v>2430.4</v>
      </c>
      <c r="K15" s="1">
        <v>3938.5</v>
      </c>
      <c r="L15" s="1">
        <v>7649.9</v>
      </c>
      <c r="M15" s="3">
        <f t="shared" si="0"/>
        <v>43.339176161262053</v>
      </c>
      <c r="N15" s="3">
        <f t="shared" si="1"/>
        <v>43.207712532865905</v>
      </c>
      <c r="O15" s="4" t="s">
        <v>29</v>
      </c>
    </row>
    <row r="16" spans="1:15" ht="61.5" x14ac:dyDescent="0.35">
      <c r="A16" s="1">
        <v>15</v>
      </c>
      <c r="B16" s="1">
        <v>1</v>
      </c>
      <c r="C16" s="1">
        <v>1</v>
      </c>
      <c r="D16" s="1" t="s">
        <v>45</v>
      </c>
      <c r="E16" s="1" t="s">
        <v>10</v>
      </c>
      <c r="F16" s="1">
        <v>1132.5999999999999</v>
      </c>
      <c r="G16" s="1">
        <v>1132.0999999999999</v>
      </c>
      <c r="H16" s="1">
        <v>2510.1999999999998</v>
      </c>
      <c r="I16" s="1">
        <v>0</v>
      </c>
      <c r="J16" s="1">
        <v>2512.1</v>
      </c>
      <c r="K16" s="1">
        <v>3938.5</v>
      </c>
      <c r="L16" s="1">
        <v>7649.9</v>
      </c>
      <c r="M16" s="3">
        <f t="shared" si="0"/>
        <v>45.11991076408254</v>
      </c>
      <c r="N16" s="3">
        <f t="shared" si="1"/>
        <v>45.099992032507366</v>
      </c>
      <c r="O16" s="4" t="s">
        <v>29</v>
      </c>
    </row>
    <row r="17" spans="1:15" ht="61.5" x14ac:dyDescent="0.35">
      <c r="A17" s="1">
        <v>16</v>
      </c>
      <c r="B17" s="1">
        <v>1</v>
      </c>
      <c r="C17" s="1">
        <v>1</v>
      </c>
      <c r="D17" s="1" t="s">
        <v>45</v>
      </c>
      <c r="E17" s="1" t="s">
        <v>11</v>
      </c>
      <c r="F17" s="1">
        <v>1090.8</v>
      </c>
      <c r="G17" s="1">
        <v>1087.4000000000001</v>
      </c>
      <c r="H17" s="1">
        <v>2510.1999999999998</v>
      </c>
      <c r="I17" s="1">
        <v>0</v>
      </c>
      <c r="J17" s="1">
        <v>2437.5</v>
      </c>
      <c r="K17" s="1">
        <v>3938.5</v>
      </c>
      <c r="L17" s="1">
        <v>7649.9</v>
      </c>
      <c r="M17" s="3">
        <f t="shared" si="0"/>
        <v>43.454704804398062</v>
      </c>
      <c r="N17" s="3">
        <f t="shared" si="1"/>
        <v>43.319257429686886</v>
      </c>
      <c r="O17" s="4" t="s">
        <v>29</v>
      </c>
    </row>
    <row r="18" spans="1:15" ht="61.5" x14ac:dyDescent="0.35">
      <c r="A18" s="1">
        <v>17</v>
      </c>
      <c r="B18" s="1">
        <v>1.0249999999999999</v>
      </c>
      <c r="C18" s="1">
        <v>1</v>
      </c>
      <c r="D18" s="1" t="s">
        <v>45</v>
      </c>
      <c r="E18" s="1" t="s">
        <v>10</v>
      </c>
      <c r="F18" s="1">
        <v>1142</v>
      </c>
      <c r="G18" s="1">
        <v>1148.8</v>
      </c>
      <c r="H18" s="1">
        <v>2510.1999999999998</v>
      </c>
      <c r="I18" s="1">
        <v>0</v>
      </c>
      <c r="J18" s="1">
        <v>2548.6999999999998</v>
      </c>
      <c r="K18" s="1">
        <v>3938.5</v>
      </c>
      <c r="L18" s="1">
        <v>7649.9</v>
      </c>
      <c r="M18" s="3">
        <f t="shared" si="0"/>
        <v>45.494382917695802</v>
      </c>
      <c r="N18" s="3">
        <f t="shared" si="1"/>
        <v>45.765277667118163</v>
      </c>
      <c r="O18" s="4" t="s">
        <v>29</v>
      </c>
    </row>
    <row r="19" spans="1:15" ht="61.5" x14ac:dyDescent="0.35">
      <c r="A19" s="1">
        <v>18</v>
      </c>
      <c r="B19" s="1">
        <v>1.0249999999999999</v>
      </c>
      <c r="C19" s="1">
        <v>1</v>
      </c>
      <c r="D19" s="1" t="s">
        <v>45</v>
      </c>
      <c r="E19" s="1" t="s">
        <v>11</v>
      </c>
      <c r="F19" s="1">
        <v>1091.5</v>
      </c>
      <c r="G19" s="1">
        <v>1088.2</v>
      </c>
      <c r="H19" s="1">
        <v>2510.1999999999998</v>
      </c>
      <c r="I19" s="1">
        <v>0</v>
      </c>
      <c r="J19" s="1">
        <v>2439.3000000000002</v>
      </c>
      <c r="K19" s="1">
        <v>3938.5</v>
      </c>
      <c r="L19" s="1">
        <v>7649.9</v>
      </c>
      <c r="M19" s="3">
        <f t="shared" si="0"/>
        <v>43.482591028603302</v>
      </c>
      <c r="N19" s="3">
        <f t="shared" si="1"/>
        <v>43.351127400207162</v>
      </c>
      <c r="O19" s="4" t="s">
        <v>29</v>
      </c>
    </row>
    <row r="20" spans="1:15" ht="61.5" x14ac:dyDescent="0.35">
      <c r="A20" s="1">
        <v>19</v>
      </c>
      <c r="B20" s="1">
        <v>0.97499999999999998</v>
      </c>
      <c r="C20" s="1">
        <v>1</v>
      </c>
      <c r="D20" s="1" t="s">
        <v>30</v>
      </c>
      <c r="E20" s="1" t="s">
        <v>10</v>
      </c>
      <c r="F20" s="1">
        <v>2318.9</v>
      </c>
      <c r="G20" s="1">
        <v>2324.1</v>
      </c>
      <c r="H20" s="1">
        <v>2510.1999999999998</v>
      </c>
      <c r="I20" s="1">
        <v>3574</v>
      </c>
      <c r="J20" s="1">
        <v>2692.8</v>
      </c>
      <c r="K20" s="1">
        <v>3938.5</v>
      </c>
      <c r="L20" s="1">
        <v>7649.9</v>
      </c>
      <c r="M20" s="3">
        <f t="shared" si="0"/>
        <v>92.379093299338706</v>
      </c>
      <c r="N20" s="3">
        <f t="shared" si="1"/>
        <v>92.586248107720508</v>
      </c>
      <c r="O20" s="4" t="s">
        <v>29</v>
      </c>
    </row>
    <row r="21" spans="1:15" ht="61.5" x14ac:dyDescent="0.35">
      <c r="A21" s="1">
        <v>20</v>
      </c>
      <c r="B21" s="1">
        <v>0.97499999999999998</v>
      </c>
      <c r="C21" s="1">
        <v>1</v>
      </c>
      <c r="D21" s="1" t="s">
        <v>30</v>
      </c>
      <c r="E21" s="1" t="s">
        <v>11</v>
      </c>
      <c r="F21" s="1">
        <v>2145.4</v>
      </c>
      <c r="G21" s="1">
        <v>2146.8000000000002</v>
      </c>
      <c r="H21" s="1">
        <v>2510.1999999999998</v>
      </c>
      <c r="I21" s="1">
        <v>3164.6</v>
      </c>
      <c r="J21" s="1">
        <v>2592.9</v>
      </c>
      <c r="K21" s="1">
        <v>3938.5</v>
      </c>
      <c r="L21" s="1">
        <v>7649.9</v>
      </c>
      <c r="M21" s="3">
        <f t="shared" si="0"/>
        <v>85.467293442753572</v>
      </c>
      <c r="N21" s="3">
        <f t="shared" si="1"/>
        <v>85.523065891164066</v>
      </c>
      <c r="O21" s="4" t="s">
        <v>29</v>
      </c>
    </row>
    <row r="22" spans="1:15" ht="61.5" x14ac:dyDescent="0.35">
      <c r="A22" s="1">
        <v>21</v>
      </c>
      <c r="B22" s="1">
        <v>1</v>
      </c>
      <c r="C22" s="1">
        <v>1</v>
      </c>
      <c r="D22" s="1" t="s">
        <v>30</v>
      </c>
      <c r="E22" s="1" t="s">
        <v>10</v>
      </c>
      <c r="F22" s="1">
        <v>2309.1999999999998</v>
      </c>
      <c r="G22" s="1">
        <v>2314.4</v>
      </c>
      <c r="H22" s="1">
        <v>2510.1999999999998</v>
      </c>
      <c r="I22" s="1">
        <v>3563</v>
      </c>
      <c r="J22" s="1">
        <v>2679.5</v>
      </c>
      <c r="K22" s="1">
        <v>3938.5</v>
      </c>
      <c r="L22" s="1">
        <v>7649.9</v>
      </c>
      <c r="M22" s="3">
        <f t="shared" si="0"/>
        <v>91.992669906780336</v>
      </c>
      <c r="N22" s="3">
        <f t="shared" si="1"/>
        <v>92.199824715162151</v>
      </c>
      <c r="O22" s="4" t="s">
        <v>29</v>
      </c>
    </row>
    <row r="23" spans="1:15" ht="61.5" x14ac:dyDescent="0.35">
      <c r="A23" s="1">
        <v>22</v>
      </c>
      <c r="B23" s="1">
        <v>1</v>
      </c>
      <c r="C23" s="1">
        <v>1</v>
      </c>
      <c r="D23" s="1" t="s">
        <v>30</v>
      </c>
      <c r="E23" s="1" t="s">
        <v>11</v>
      </c>
      <c r="F23" s="1">
        <v>2145.4</v>
      </c>
      <c r="G23" s="1">
        <v>2146.8000000000002</v>
      </c>
      <c r="H23" s="1">
        <v>2510.1999999999998</v>
      </c>
      <c r="I23" s="1">
        <v>3162.2</v>
      </c>
      <c r="J23" s="1">
        <v>2594.4</v>
      </c>
      <c r="K23" s="1">
        <v>3938.5</v>
      </c>
      <c r="L23" s="1">
        <v>7649.9</v>
      </c>
      <c r="M23" s="3">
        <f t="shared" si="0"/>
        <v>85.467293442753572</v>
      </c>
      <c r="N23" s="3">
        <f t="shared" si="1"/>
        <v>85.523065891164066</v>
      </c>
      <c r="O23" s="4" t="s">
        <v>29</v>
      </c>
    </row>
    <row r="24" spans="1:15" ht="61.5" x14ac:dyDescent="0.35">
      <c r="A24" s="1">
        <v>23</v>
      </c>
      <c r="B24" s="1">
        <v>1.0249999999999999</v>
      </c>
      <c r="C24" s="1">
        <v>1</v>
      </c>
      <c r="D24" s="1" t="s">
        <v>30</v>
      </c>
      <c r="E24" s="1" t="s">
        <v>10</v>
      </c>
      <c r="F24" s="1">
        <v>2295.9</v>
      </c>
      <c r="G24" s="1">
        <v>2301.1</v>
      </c>
      <c r="H24" s="1">
        <v>2510.1999999999998</v>
      </c>
      <c r="I24" s="1">
        <v>3537.8</v>
      </c>
      <c r="J24" s="1">
        <v>2667.4</v>
      </c>
      <c r="K24" s="1">
        <v>3938.5</v>
      </c>
      <c r="L24" s="1">
        <v>7649.9</v>
      </c>
      <c r="M24" s="3">
        <f t="shared" si="0"/>
        <v>91.462831646880744</v>
      </c>
      <c r="N24" s="3">
        <f t="shared" si="1"/>
        <v>91.669986455262531</v>
      </c>
      <c r="O24" s="4" t="s">
        <v>29</v>
      </c>
    </row>
    <row r="25" spans="1:15" ht="61.5" x14ac:dyDescent="0.35">
      <c r="A25" s="1">
        <v>24</v>
      </c>
      <c r="B25" s="1">
        <v>1.0249999999999999</v>
      </c>
      <c r="C25" s="1">
        <v>1</v>
      </c>
      <c r="D25" s="1" t="s">
        <v>30</v>
      </c>
      <c r="E25" s="1" t="s">
        <v>11</v>
      </c>
      <c r="F25" s="1">
        <v>2141.6999999999998</v>
      </c>
      <c r="G25" s="1">
        <v>2143.1</v>
      </c>
      <c r="H25" s="1">
        <v>2510.1999999999998</v>
      </c>
      <c r="I25" s="1">
        <v>3157.3</v>
      </c>
      <c r="J25" s="1">
        <v>2589.3000000000002</v>
      </c>
      <c r="K25" s="1">
        <v>3938.5</v>
      </c>
      <c r="L25" s="1">
        <v>7649.9</v>
      </c>
      <c r="M25" s="3">
        <f t="shared" si="0"/>
        <v>85.319894829097294</v>
      </c>
      <c r="N25" s="3">
        <f t="shared" si="1"/>
        <v>85.375667277507773</v>
      </c>
      <c r="O25" s="4" t="s">
        <v>29</v>
      </c>
    </row>
    <row r="26" spans="1:15" ht="61.5" x14ac:dyDescent="0.35">
      <c r="A26" s="1">
        <v>25</v>
      </c>
      <c r="B26" s="1">
        <v>0.97499999999999998</v>
      </c>
      <c r="C26" s="1">
        <v>0</v>
      </c>
      <c r="D26" s="1" t="s">
        <v>53</v>
      </c>
      <c r="E26" s="1" t="s">
        <v>47</v>
      </c>
      <c r="F26" s="1">
        <v>9.6999999999999993</v>
      </c>
      <c r="G26" s="1">
        <v>7.8</v>
      </c>
      <c r="H26" s="1">
        <v>2510.1999999999998</v>
      </c>
      <c r="I26" s="1">
        <v>33.200000000000003</v>
      </c>
      <c r="J26" s="1">
        <v>12</v>
      </c>
      <c r="K26" s="1">
        <v>3938.5</v>
      </c>
      <c r="L26" s="1">
        <v>7649.9</v>
      </c>
      <c r="M26" s="3">
        <f t="shared" si="0"/>
        <v>0.38642339255836189</v>
      </c>
      <c r="N26" s="3">
        <f t="shared" si="1"/>
        <v>0.31073221257270339</v>
      </c>
      <c r="O26" s="4" t="s">
        <v>29</v>
      </c>
    </row>
    <row r="27" spans="1:15" ht="61.5" x14ac:dyDescent="0.35">
      <c r="A27" s="1">
        <v>26</v>
      </c>
      <c r="B27" s="1">
        <v>1</v>
      </c>
      <c r="C27" s="1">
        <v>0</v>
      </c>
      <c r="D27" s="1" t="s">
        <v>53</v>
      </c>
      <c r="E27" s="1" t="s">
        <v>47</v>
      </c>
      <c r="F27" s="1">
        <v>9.6999999999999993</v>
      </c>
      <c r="G27" s="1">
        <v>7.9</v>
      </c>
      <c r="H27" s="1">
        <v>2510.1999999999998</v>
      </c>
      <c r="I27" s="1">
        <v>29.6</v>
      </c>
      <c r="J27" s="1">
        <v>14.4</v>
      </c>
      <c r="K27" s="1">
        <v>3938.5</v>
      </c>
      <c r="L27" s="1">
        <v>7649.9</v>
      </c>
      <c r="M27" s="3">
        <f t="shared" si="0"/>
        <v>0.38642339255836189</v>
      </c>
      <c r="N27" s="3">
        <f t="shared" si="1"/>
        <v>0.31471595888773807</v>
      </c>
      <c r="O27" s="4" t="s">
        <v>29</v>
      </c>
    </row>
    <row r="28" spans="1:15" ht="61.5" x14ac:dyDescent="0.35">
      <c r="A28" s="1">
        <v>27</v>
      </c>
      <c r="B28" s="1">
        <v>1.0249999999999999</v>
      </c>
      <c r="C28" s="1">
        <v>0</v>
      </c>
      <c r="D28" s="1" t="s">
        <v>53</v>
      </c>
      <c r="E28" s="1" t="s">
        <v>47</v>
      </c>
      <c r="F28" s="1">
        <v>9.6</v>
      </c>
      <c r="G28" s="1">
        <v>7.8</v>
      </c>
      <c r="H28" s="1">
        <v>2510.1999999999998</v>
      </c>
      <c r="I28" s="1">
        <v>32.5</v>
      </c>
      <c r="J28" s="1">
        <v>12.1</v>
      </c>
      <c r="K28" s="1">
        <v>3938.5</v>
      </c>
      <c r="L28" s="1">
        <v>7649.9</v>
      </c>
      <c r="M28" s="3">
        <f t="shared" si="0"/>
        <v>0.38243964624332727</v>
      </c>
      <c r="N28" s="3">
        <f t="shared" si="1"/>
        <v>0.31073221257270339</v>
      </c>
      <c r="O28" s="4" t="s">
        <v>29</v>
      </c>
    </row>
    <row r="29" spans="1:15" ht="61.5" x14ac:dyDescent="0.35">
      <c r="A29" s="1">
        <v>28</v>
      </c>
      <c r="B29" s="1">
        <v>0.97499999999999998</v>
      </c>
      <c r="C29" s="1">
        <v>0</v>
      </c>
      <c r="D29" s="1" t="s">
        <v>46</v>
      </c>
      <c r="E29" s="1" t="s">
        <v>47</v>
      </c>
      <c r="F29" s="1">
        <v>1053.8</v>
      </c>
      <c r="G29" s="1">
        <v>1056.4000000000001</v>
      </c>
      <c r="H29" s="1">
        <v>2510.1999999999998</v>
      </c>
      <c r="I29" s="1">
        <v>3360.5</v>
      </c>
      <c r="J29" s="1">
        <v>0</v>
      </c>
      <c r="K29" s="1">
        <v>3938.5</v>
      </c>
      <c r="L29" s="1">
        <v>7649.9</v>
      </c>
      <c r="M29" s="3">
        <f t="shared" si="0"/>
        <v>41.980718667835234</v>
      </c>
      <c r="N29" s="3">
        <f t="shared" si="1"/>
        <v>42.084296072026142</v>
      </c>
      <c r="O29" s="4" t="s">
        <v>29</v>
      </c>
    </row>
    <row r="30" spans="1:15" ht="61.5" x14ac:dyDescent="0.35">
      <c r="A30" s="1">
        <v>29</v>
      </c>
      <c r="B30" s="1">
        <v>1</v>
      </c>
      <c r="C30" s="1">
        <v>0</v>
      </c>
      <c r="D30" s="1" t="s">
        <v>46</v>
      </c>
      <c r="E30" s="1" t="s">
        <v>47</v>
      </c>
      <c r="F30" s="1">
        <v>1049.7</v>
      </c>
      <c r="G30" s="1">
        <v>1052.3</v>
      </c>
      <c r="H30" s="1">
        <v>2510.1999999999998</v>
      </c>
      <c r="I30" s="1">
        <v>3347.4</v>
      </c>
      <c r="J30" s="1">
        <v>0</v>
      </c>
      <c r="K30" s="1">
        <v>3938.5</v>
      </c>
      <c r="L30" s="1">
        <v>7649.9</v>
      </c>
      <c r="M30" s="3">
        <f t="shared" si="0"/>
        <v>41.817385068918817</v>
      </c>
      <c r="N30" s="3">
        <f t="shared" si="1"/>
        <v>41.920962473109711</v>
      </c>
      <c r="O30" s="4" t="s">
        <v>29</v>
      </c>
    </row>
    <row r="31" spans="1:15" ht="61.5" x14ac:dyDescent="0.35">
      <c r="A31" s="1">
        <v>30</v>
      </c>
      <c r="B31" s="1">
        <v>1.0249999999999999</v>
      </c>
      <c r="C31" s="1">
        <v>0</v>
      </c>
      <c r="D31" s="1" t="s">
        <v>46</v>
      </c>
      <c r="E31" s="1" t="s">
        <v>47</v>
      </c>
      <c r="F31" s="1">
        <v>1049.8</v>
      </c>
      <c r="G31" s="1">
        <v>1052.5</v>
      </c>
      <c r="H31" s="1">
        <v>2510.1999999999998</v>
      </c>
      <c r="I31" s="1">
        <v>3347.7</v>
      </c>
      <c r="J31" s="1">
        <v>0</v>
      </c>
      <c r="K31" s="1">
        <v>3938.5</v>
      </c>
      <c r="L31" s="1">
        <v>7649.9</v>
      </c>
      <c r="M31" s="3">
        <f t="shared" si="0"/>
        <v>41.821368815233846</v>
      </c>
      <c r="N31" s="3">
        <f t="shared" si="1"/>
        <v>41.928929965739783</v>
      </c>
      <c r="O31" s="4" t="s">
        <v>29</v>
      </c>
    </row>
    <row r="32" spans="1:15" ht="61.5" x14ac:dyDescent="0.35">
      <c r="A32" s="1">
        <v>31</v>
      </c>
      <c r="B32" s="1">
        <v>0.97499999999999998</v>
      </c>
      <c r="C32" s="1">
        <v>0</v>
      </c>
      <c r="D32" s="1" t="s">
        <v>51</v>
      </c>
      <c r="E32" s="1" t="s">
        <v>47</v>
      </c>
      <c r="F32" s="1"/>
      <c r="G32" s="1"/>
      <c r="H32" s="1">
        <v>2510.1999999999998</v>
      </c>
      <c r="I32" s="1"/>
      <c r="J32" s="1"/>
      <c r="K32" s="1">
        <v>3938.5</v>
      </c>
      <c r="L32" s="1">
        <v>7649.9</v>
      </c>
      <c r="M32" s="3">
        <f t="shared" si="0"/>
        <v>0</v>
      </c>
      <c r="N32" s="3">
        <f t="shared" si="1"/>
        <v>0</v>
      </c>
      <c r="O32" s="4" t="s">
        <v>29</v>
      </c>
    </row>
    <row r="33" spans="1:15" ht="61.5" x14ac:dyDescent="0.35">
      <c r="A33" s="1">
        <v>32</v>
      </c>
      <c r="B33" s="1">
        <v>1</v>
      </c>
      <c r="C33" s="1">
        <v>0</v>
      </c>
      <c r="D33" s="1" t="s">
        <v>51</v>
      </c>
      <c r="E33" s="1" t="s">
        <v>47</v>
      </c>
      <c r="F33" s="1"/>
      <c r="G33" s="1"/>
      <c r="H33" s="1">
        <v>2510.1999999999998</v>
      </c>
      <c r="I33" s="1"/>
      <c r="J33" s="1"/>
      <c r="K33" s="1">
        <v>3938.5</v>
      </c>
      <c r="L33" s="1">
        <v>7649.9</v>
      </c>
      <c r="M33" s="3">
        <f t="shared" si="0"/>
        <v>0</v>
      </c>
      <c r="N33" s="3">
        <f t="shared" si="1"/>
        <v>0</v>
      </c>
      <c r="O33" s="4" t="s">
        <v>29</v>
      </c>
    </row>
    <row r="34" spans="1:15" ht="61.5" x14ac:dyDescent="0.35">
      <c r="A34" s="1">
        <v>33</v>
      </c>
      <c r="B34" s="1">
        <v>1.0249999999999999</v>
      </c>
      <c r="C34" s="1">
        <v>0</v>
      </c>
      <c r="D34" s="1" t="s">
        <v>51</v>
      </c>
      <c r="E34" s="1" t="s">
        <v>47</v>
      </c>
      <c r="F34" s="1"/>
      <c r="G34" s="1"/>
      <c r="H34" s="1">
        <v>2510.1999999999998</v>
      </c>
      <c r="I34" s="1"/>
      <c r="J34" s="1"/>
      <c r="K34" s="1">
        <v>3938.5</v>
      </c>
      <c r="L34" s="1">
        <v>7649.9</v>
      </c>
      <c r="M34" s="3">
        <f t="shared" si="0"/>
        <v>0</v>
      </c>
      <c r="N34" s="3">
        <f t="shared" si="1"/>
        <v>0</v>
      </c>
      <c r="O34" s="4" t="s">
        <v>29</v>
      </c>
    </row>
    <row r="35" spans="1:15" ht="61.5" x14ac:dyDescent="0.35">
      <c r="A35" s="1">
        <v>34</v>
      </c>
      <c r="B35" s="1">
        <v>0.97499999999999998</v>
      </c>
      <c r="C35" s="1">
        <v>0</v>
      </c>
      <c r="D35" s="1" t="s">
        <v>52</v>
      </c>
      <c r="E35" s="1" t="s">
        <v>47</v>
      </c>
      <c r="F35" s="1"/>
      <c r="G35" s="1"/>
      <c r="H35" s="1">
        <v>2510.1999999999998</v>
      </c>
      <c r="I35" s="1"/>
      <c r="J35" s="1"/>
      <c r="K35" s="1">
        <v>3938.5</v>
      </c>
      <c r="L35" s="1">
        <v>7649.9</v>
      </c>
      <c r="M35" s="3">
        <f t="shared" si="0"/>
        <v>0</v>
      </c>
      <c r="N35" s="3">
        <f t="shared" si="1"/>
        <v>0</v>
      </c>
      <c r="O35" s="4" t="s">
        <v>29</v>
      </c>
    </row>
    <row r="36" spans="1:15" ht="61.5" x14ac:dyDescent="0.35">
      <c r="A36" s="1">
        <v>35</v>
      </c>
      <c r="B36" s="1">
        <v>1</v>
      </c>
      <c r="C36" s="1">
        <v>0</v>
      </c>
      <c r="D36" s="1" t="s">
        <v>52</v>
      </c>
      <c r="E36" s="1" t="s">
        <v>47</v>
      </c>
      <c r="F36" s="1"/>
      <c r="G36" s="1"/>
      <c r="H36" s="1">
        <v>2510.1999999999998</v>
      </c>
      <c r="I36" s="1"/>
      <c r="J36" s="1"/>
      <c r="K36" s="1">
        <v>3938.5</v>
      </c>
      <c r="L36" s="1">
        <v>7649.9</v>
      </c>
      <c r="M36" s="3">
        <f t="shared" si="0"/>
        <v>0</v>
      </c>
      <c r="N36" s="3">
        <f t="shared" si="1"/>
        <v>0</v>
      </c>
      <c r="O36" s="4" t="s">
        <v>29</v>
      </c>
    </row>
    <row r="37" spans="1:15" ht="61.5" x14ac:dyDescent="0.35">
      <c r="A37" s="1">
        <v>36</v>
      </c>
      <c r="B37" s="1">
        <v>1.0249999999999999</v>
      </c>
      <c r="C37" s="1">
        <v>0</v>
      </c>
      <c r="D37" s="1" t="s">
        <v>52</v>
      </c>
      <c r="E37" s="1" t="s">
        <v>47</v>
      </c>
      <c r="F37" s="1"/>
      <c r="G37" s="1"/>
      <c r="H37" s="1">
        <v>2510.1999999999998</v>
      </c>
      <c r="I37" s="1"/>
      <c r="J37" s="1"/>
      <c r="K37" s="1">
        <v>3938.5</v>
      </c>
      <c r="L37" s="1">
        <v>7649.9</v>
      </c>
      <c r="M37" s="3">
        <f t="shared" si="0"/>
        <v>0</v>
      </c>
      <c r="N37" s="3">
        <f t="shared" si="1"/>
        <v>0</v>
      </c>
      <c r="O37" s="4" t="s">
        <v>29</v>
      </c>
    </row>
    <row r="38" spans="1:15" ht="61.5" x14ac:dyDescent="0.35">
      <c r="A38" s="1">
        <v>37</v>
      </c>
      <c r="B38" s="1">
        <v>1.0249999999999999</v>
      </c>
      <c r="C38" s="1">
        <v>0</v>
      </c>
      <c r="D38" s="1" t="s">
        <v>57</v>
      </c>
      <c r="E38" s="1" t="s">
        <v>47</v>
      </c>
      <c r="F38" s="1"/>
      <c r="G38" s="1"/>
      <c r="H38" s="1">
        <v>2510.1999999999998</v>
      </c>
      <c r="I38" s="1"/>
      <c r="J38" s="1"/>
      <c r="K38" s="1">
        <v>3938.5</v>
      </c>
      <c r="L38" s="1">
        <v>7649.9</v>
      </c>
      <c r="M38" s="3">
        <f t="shared" ref="M38:M41" si="2">F38/H38*100</f>
        <v>0</v>
      </c>
      <c r="N38" s="3">
        <f t="shared" ref="N38:N41" si="3">G38/H38*100</f>
        <v>0</v>
      </c>
      <c r="O38" s="4" t="s">
        <v>29</v>
      </c>
    </row>
    <row r="39" spans="1:15" ht="61.5" x14ac:dyDescent="0.35">
      <c r="A39" s="1">
        <v>38</v>
      </c>
      <c r="B39" s="1">
        <v>0.97499999999999998</v>
      </c>
      <c r="C39" s="1">
        <v>0</v>
      </c>
      <c r="D39" s="1" t="s">
        <v>58</v>
      </c>
      <c r="E39" s="1" t="s">
        <v>47</v>
      </c>
      <c r="F39" s="1"/>
      <c r="G39" s="1"/>
      <c r="H39" s="1">
        <v>2510.1999999999998</v>
      </c>
      <c r="I39" s="1"/>
      <c r="J39" s="1"/>
      <c r="K39" s="1">
        <v>3938.5</v>
      </c>
      <c r="L39" s="1">
        <v>7649.9</v>
      </c>
      <c r="M39" s="3">
        <f t="shared" si="2"/>
        <v>0</v>
      </c>
      <c r="N39" s="3">
        <f t="shared" si="3"/>
        <v>0</v>
      </c>
      <c r="O39" s="4" t="s">
        <v>29</v>
      </c>
    </row>
    <row r="40" spans="1:15" ht="61.5" x14ac:dyDescent="0.35">
      <c r="A40" s="1">
        <v>39</v>
      </c>
      <c r="B40" s="1">
        <v>1</v>
      </c>
      <c r="C40" s="1">
        <v>0</v>
      </c>
      <c r="D40" s="1" t="s">
        <v>59</v>
      </c>
      <c r="E40" s="1" t="s">
        <v>47</v>
      </c>
      <c r="F40" s="1"/>
      <c r="G40" s="1"/>
      <c r="H40" s="1">
        <v>2510.1999999999998</v>
      </c>
      <c r="I40" s="1"/>
      <c r="J40" s="1"/>
      <c r="K40" s="1">
        <v>3938.5</v>
      </c>
      <c r="L40" s="1">
        <v>7649.9</v>
      </c>
      <c r="M40" s="3">
        <f t="shared" si="2"/>
        <v>0</v>
      </c>
      <c r="N40" s="3">
        <f t="shared" si="3"/>
        <v>0</v>
      </c>
      <c r="O40" s="4" t="s">
        <v>29</v>
      </c>
    </row>
    <row r="41" spans="1:15" ht="61.5" x14ac:dyDescent="0.35">
      <c r="A41" s="1">
        <v>40</v>
      </c>
      <c r="B41" s="1">
        <v>1.0249999999999999</v>
      </c>
      <c r="C41" s="1">
        <v>0</v>
      </c>
      <c r="D41" s="1" t="s">
        <v>60</v>
      </c>
      <c r="E41" s="1" t="s">
        <v>47</v>
      </c>
      <c r="F41" s="1"/>
      <c r="G41" s="1"/>
      <c r="H41" s="1">
        <v>2510.1999999999998</v>
      </c>
      <c r="I41" s="1"/>
      <c r="J41" s="1"/>
      <c r="K41" s="1">
        <v>3938.5</v>
      </c>
      <c r="L41" s="1">
        <v>7649.9</v>
      </c>
      <c r="M41" s="3">
        <f t="shared" si="2"/>
        <v>0</v>
      </c>
      <c r="N41" s="3">
        <f t="shared" si="3"/>
        <v>0</v>
      </c>
      <c r="O41" s="4" t="s">
        <v>29</v>
      </c>
    </row>
  </sheetData>
  <pageMargins left="0.25" right="0.25" top="0.75" bottom="0.75" header="0.3" footer="0.3"/>
  <pageSetup scale="2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 summary</vt:lpstr>
      <vt:lpstr>Scenario 100%_Power</vt:lpstr>
      <vt:lpstr>Scenario_100_inv_voltages</vt:lpstr>
      <vt:lpstr>Scenario_100_Branch_loading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Mushfique Nabi</cp:lastModifiedBy>
  <cp:lastPrinted>2026-04-23T22:21:19Z</cp:lastPrinted>
  <dcterms:created xsi:type="dcterms:W3CDTF">2026-04-23T18:13:58Z</dcterms:created>
  <dcterms:modified xsi:type="dcterms:W3CDTF">2026-07-03T16:37:53Z</dcterms:modified>
</cp:coreProperties>
</file>